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codeName="ThisWorkbook" defaultThemeVersion="124226"/>
  <xr:revisionPtr revIDLastSave="0" documentId="13_ncr:1_{D8093C17-8EDC-44FD-BA74-C8E9B4CF739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JAN_2026" sheetId="7" r:id="rId1"/>
    <sheet name="FEB_2026" sheetId="15" r:id="rId2"/>
    <sheet name="MARCH_2026" sheetId="16" r:id="rId3"/>
    <sheet name="Sheet1" sheetId="17" r:id="rId4"/>
  </sheets>
  <definedNames>
    <definedName name="_xlnm.Print_Area" localSheetId="1">FEB_2026!$A$1:$H$78</definedName>
    <definedName name="_xlnm.Print_Area" localSheetId="0">JAN_2026!$A$1:$H$111</definedName>
  </definedNames>
  <calcPr calcId="181029"/>
</workbook>
</file>

<file path=xl/calcChain.xml><?xml version="1.0" encoding="utf-8"?>
<calcChain xmlns="http://schemas.openxmlformats.org/spreadsheetml/2006/main">
  <c r="H5" i="16" l="1"/>
  <c r="H6" i="16" s="1"/>
  <c r="H7" i="16" s="1"/>
  <c r="H8" i="16" s="1"/>
  <c r="H9" i="16" s="1"/>
  <c r="H10" i="16" s="1"/>
  <c r="H11" i="16" s="1"/>
  <c r="H12" i="16" s="1"/>
  <c r="H13" i="16" s="1"/>
  <c r="H14" i="16" s="1"/>
  <c r="H15" i="16" s="1"/>
  <c r="H16" i="16" s="1"/>
  <c r="H17" i="16" s="1"/>
  <c r="H18" i="16" s="1"/>
  <c r="H19" i="16" s="1"/>
  <c r="H20" i="16" s="1"/>
  <c r="H21" i="16" s="1"/>
  <c r="H22" i="16" s="1"/>
  <c r="H23" i="16" s="1"/>
  <c r="H24" i="16" s="1"/>
  <c r="H25" i="16" s="1"/>
  <c r="H26" i="16" s="1"/>
  <c r="H27" i="16" s="1"/>
  <c r="H28" i="16" s="1"/>
  <c r="H29" i="16" s="1"/>
  <c r="H30" i="16" s="1"/>
  <c r="H31" i="16" s="1"/>
  <c r="H32" i="16" s="1"/>
  <c r="H33" i="16" s="1"/>
  <c r="H34" i="16" s="1"/>
  <c r="H35" i="16" s="1"/>
  <c r="H36" i="16" s="1"/>
  <c r="H37" i="16" s="1"/>
  <c r="H38" i="16" s="1"/>
  <c r="H39" i="16" s="1"/>
  <c r="H40" i="16" s="1"/>
  <c r="H41" i="16" s="1"/>
  <c r="H42" i="16" s="1"/>
  <c r="H43" i="16" s="1"/>
  <c r="H44" i="16" s="1"/>
  <c r="H45" i="16" s="1"/>
  <c r="H46" i="16" s="1"/>
  <c r="H47" i="16" s="1"/>
  <c r="H48" i="16" s="1"/>
  <c r="H49" i="16" s="1"/>
  <c r="H50" i="16" s="1"/>
  <c r="H51" i="16" s="1"/>
  <c r="H52" i="16" s="1"/>
  <c r="H53" i="16" s="1"/>
  <c r="H54" i="16" s="1"/>
  <c r="H55" i="16" s="1"/>
  <c r="H56" i="16" s="1"/>
  <c r="H57" i="16" s="1"/>
  <c r="H58" i="16" s="1"/>
  <c r="H59" i="16" s="1"/>
  <c r="H60" i="16" s="1"/>
  <c r="H61" i="16" s="1"/>
  <c r="H62" i="16" s="1"/>
  <c r="H63" i="16" s="1"/>
  <c r="H64" i="16" s="1"/>
  <c r="H65" i="16" s="1"/>
  <c r="H66" i="16" s="1"/>
  <c r="H67" i="16" s="1"/>
  <c r="H68" i="16" s="1"/>
  <c r="H69" i="16" s="1"/>
  <c r="H70" i="16" s="1"/>
  <c r="H71" i="16" s="1"/>
  <c r="H72" i="16" s="1"/>
  <c r="H73" i="16" s="1"/>
  <c r="H74" i="16" s="1"/>
  <c r="H75" i="16" s="1"/>
  <c r="H76" i="16" s="1"/>
  <c r="H77" i="16" s="1"/>
  <c r="H78" i="16" s="1"/>
  <c r="H79" i="16" s="1"/>
  <c r="H80" i="16" s="1"/>
  <c r="H81" i="16" s="1"/>
  <c r="H82" i="16" s="1"/>
  <c r="H83" i="16" s="1"/>
  <c r="H84" i="16" s="1"/>
  <c r="H85" i="16" s="1"/>
  <c r="H86" i="16" s="1"/>
  <c r="H87" i="16" s="1"/>
  <c r="H88" i="16" s="1"/>
  <c r="H89" i="16" s="1"/>
  <c r="H90" i="16" s="1"/>
  <c r="H91" i="16" s="1"/>
  <c r="H92" i="16" s="1"/>
  <c r="H93" i="16" s="1"/>
  <c r="H94" i="16" s="1"/>
  <c r="H95" i="16" s="1"/>
  <c r="H96" i="16" s="1"/>
  <c r="H97" i="16" s="1"/>
  <c r="H98" i="16" s="1"/>
  <c r="H99" i="16" s="1"/>
  <c r="H100" i="16" s="1"/>
  <c r="H101" i="16" s="1"/>
  <c r="H102" i="16" s="1"/>
  <c r="H103" i="16" s="1"/>
  <c r="H104" i="16" s="1"/>
  <c r="H105" i="16" s="1"/>
  <c r="H106" i="16" s="1"/>
  <c r="H107" i="16" s="1"/>
  <c r="H108" i="16" s="1"/>
  <c r="H109" i="16" s="1"/>
  <c r="H110" i="16" s="1"/>
  <c r="H111" i="16" s="1"/>
  <c r="G3" i="16"/>
  <c r="F3" i="16"/>
  <c r="H43" i="15"/>
  <c r="H44" i="15"/>
  <c r="H45" i="15"/>
  <c r="H46" i="15"/>
  <c r="H47" i="15" s="1"/>
  <c r="H48" i="15" s="1"/>
  <c r="H49" i="15" s="1"/>
  <c r="H50" i="15" s="1"/>
  <c r="H51" i="15" s="1"/>
  <c r="H52" i="15" s="1"/>
  <c r="H53" i="15" s="1"/>
  <c r="H54" i="15" s="1"/>
  <c r="H55" i="15" s="1"/>
  <c r="H56" i="15" s="1"/>
  <c r="H57" i="15" s="1"/>
  <c r="H58" i="15" s="1"/>
  <c r="H59" i="15" s="1"/>
  <c r="H60" i="15" s="1"/>
  <c r="H61" i="15" s="1"/>
  <c r="H62" i="15" s="1"/>
  <c r="H63" i="15" s="1"/>
  <c r="H64" i="15" s="1"/>
  <c r="H65" i="15" s="1"/>
  <c r="H66" i="15" s="1"/>
  <c r="H67" i="15" s="1"/>
  <c r="H68" i="15" s="1"/>
  <c r="H69" i="15" s="1"/>
  <c r="H70" i="15" s="1"/>
  <c r="H71" i="15" s="1"/>
  <c r="H72" i="15" s="1"/>
  <c r="H73" i="15" s="1"/>
  <c r="H74" i="15" s="1"/>
  <c r="H75" i="15" s="1"/>
  <c r="H76" i="15" s="1"/>
  <c r="H77" i="15" s="1"/>
  <c r="H78" i="15" s="1"/>
  <c r="H79" i="15" s="1"/>
  <c r="H80" i="15" s="1"/>
  <c r="H81" i="15" s="1"/>
  <c r="H82" i="15" s="1"/>
  <c r="H83" i="15" s="1"/>
  <c r="H84" i="15" s="1"/>
  <c r="H85" i="15" s="1"/>
  <c r="H86" i="15" s="1"/>
  <c r="H87" i="15" s="1"/>
  <c r="H88" i="15" s="1"/>
  <c r="H89" i="15" s="1"/>
  <c r="H90" i="15" s="1"/>
  <c r="H91" i="15" s="1"/>
  <c r="H92" i="15" s="1"/>
  <c r="H93" i="15" s="1"/>
  <c r="H94" i="15" s="1"/>
  <c r="H95" i="15" s="1"/>
  <c r="H96" i="15" s="1"/>
  <c r="H97" i="15" s="1"/>
  <c r="H98" i="15" s="1"/>
  <c r="H99" i="15" s="1"/>
  <c r="H100" i="15" s="1"/>
  <c r="H101" i="15" s="1"/>
  <c r="H102" i="15" s="1"/>
  <c r="H103" i="15" s="1"/>
  <c r="H104" i="15" s="1"/>
  <c r="H105" i="15" s="1"/>
  <c r="H106" i="15" s="1"/>
  <c r="H107" i="15" s="1"/>
  <c r="H108" i="15" s="1"/>
  <c r="H109" i="15" s="1"/>
  <c r="H110" i="15" s="1"/>
  <c r="H111" i="15" s="1"/>
  <c r="H5" i="15"/>
  <c r="H6" i="15" s="1"/>
  <c r="H7" i="15" s="1"/>
  <c r="H8" i="15" s="1"/>
  <c r="H9" i="15" s="1"/>
  <c r="H10" i="15" s="1"/>
  <c r="H11" i="15" s="1"/>
  <c r="H12" i="15" s="1"/>
  <c r="H13" i="15" s="1"/>
  <c r="H14" i="15" s="1"/>
  <c r="H15" i="15" s="1"/>
  <c r="H16" i="15" s="1"/>
  <c r="H17" i="15" s="1"/>
  <c r="H18" i="15" s="1"/>
  <c r="H19" i="15" s="1"/>
  <c r="H20" i="15" s="1"/>
  <c r="H21" i="15" s="1"/>
  <c r="H22" i="15" s="1"/>
  <c r="H23" i="15" s="1"/>
  <c r="H24" i="15" s="1"/>
  <c r="H25" i="15" s="1"/>
  <c r="H26" i="15" s="1"/>
  <c r="H27" i="15" s="1"/>
  <c r="H28" i="15" s="1"/>
  <c r="H29" i="15" s="1"/>
  <c r="H30" i="15" s="1"/>
  <c r="H31" i="15" s="1"/>
  <c r="H32" i="15" s="1"/>
  <c r="H33" i="15" s="1"/>
  <c r="H34" i="15" s="1"/>
  <c r="H35" i="15" s="1"/>
  <c r="G3" i="15"/>
  <c r="F3" i="15"/>
  <c r="H68" i="7"/>
  <c r="H69" i="7" s="1"/>
  <c r="H70" i="7" s="1"/>
  <c r="H71" i="7" s="1"/>
  <c r="H72" i="7" s="1"/>
  <c r="H73" i="7" s="1"/>
  <c r="H74" i="7" s="1"/>
  <c r="H75" i="7" s="1"/>
  <c r="H76" i="7" s="1"/>
  <c r="H77" i="7" s="1"/>
  <c r="H78" i="7" s="1"/>
  <c r="H79" i="7" s="1"/>
  <c r="H80" i="7" s="1"/>
  <c r="H81" i="7" s="1"/>
  <c r="H82" i="7" s="1"/>
  <c r="H83" i="7" s="1"/>
  <c r="H84" i="7" s="1"/>
  <c r="H85" i="7" s="1"/>
  <c r="H86" i="7" s="1"/>
  <c r="H87" i="7" s="1"/>
  <c r="H88" i="7" s="1"/>
  <c r="H89" i="7" s="1"/>
  <c r="H90" i="7" s="1"/>
  <c r="H91" i="7" s="1"/>
  <c r="H92" i="7" s="1"/>
  <c r="H93" i="7" s="1"/>
  <c r="H94" i="7" s="1"/>
  <c r="H95" i="7" s="1"/>
  <c r="H96" i="7" s="1"/>
  <c r="H97" i="7" s="1"/>
  <c r="H98" i="7" s="1"/>
  <c r="H99" i="7" s="1"/>
  <c r="H100" i="7" s="1"/>
  <c r="H101" i="7" s="1"/>
  <c r="H102" i="7" s="1"/>
  <c r="H103" i="7" s="1"/>
  <c r="H104" i="7" s="1"/>
  <c r="H105" i="7" s="1"/>
  <c r="H106" i="7" s="1"/>
  <c r="H107" i="7" s="1"/>
  <c r="H108" i="7" s="1"/>
  <c r="H109" i="7" s="1"/>
  <c r="H110" i="7" s="1"/>
  <c r="H111" i="7" s="1"/>
  <c r="H5" i="7"/>
  <c r="H6" i="7" s="1"/>
  <c r="H7" i="7" s="1"/>
  <c r="H8" i="7" s="1"/>
  <c r="H9" i="7" s="1"/>
  <c r="H10" i="7" s="1"/>
  <c r="H11" i="7" s="1"/>
  <c r="G3" i="7"/>
  <c r="F3" i="7"/>
  <c r="H3" i="16" l="1"/>
  <c r="H36" i="15"/>
  <c r="H37" i="15" s="1"/>
  <c r="H38" i="15" s="1"/>
  <c r="H39" i="15" s="1"/>
  <c r="H40" i="15" s="1"/>
  <c r="H41" i="15" s="1"/>
  <c r="H42" i="15" s="1"/>
  <c r="H3" i="15"/>
  <c r="H12" i="7"/>
  <c r="H3" i="7"/>
  <c r="H13" i="7" l="1"/>
  <c r="H14" i="7" l="1"/>
  <c r="H15" i="7" l="1"/>
  <c r="H16" i="7" l="1"/>
  <c r="H17" i="7" s="1"/>
  <c r="H18" i="7" s="1"/>
  <c r="H19" i="7" s="1"/>
  <c r="H20" i="7" s="1"/>
  <c r="H21" i="7" s="1"/>
  <c r="H22" i="7" s="1"/>
  <c r="H23" i="7" s="1"/>
  <c r="H24" i="7" s="1"/>
  <c r="H25" i="7" s="1"/>
  <c r="H26" i="7" s="1"/>
  <c r="H27" i="7" s="1"/>
  <c r="H28" i="7" s="1"/>
  <c r="H29" i="7" s="1"/>
  <c r="H30" i="7" l="1"/>
  <c r="H31" i="7" s="1"/>
  <c r="H32" i="7" s="1"/>
  <c r="H33" i="7" s="1"/>
  <c r="H34" i="7" l="1"/>
  <c r="H35" i="7" s="1"/>
  <c r="H36" i="7" s="1"/>
  <c r="H37" i="7" s="1"/>
  <c r="H38" i="7" s="1"/>
  <c r="H39" i="7" s="1"/>
  <c r="H40" i="7" s="1"/>
  <c r="H41" i="7" s="1"/>
  <c r="H42" i="7" s="1"/>
  <c r="H43" i="7" s="1"/>
  <c r="H44" i="7" s="1"/>
  <c r="H45" i="7" s="1"/>
  <c r="H46" i="7" s="1"/>
  <c r="H47" i="7" s="1"/>
  <c r="H48" i="7" s="1"/>
  <c r="H49" i="7" s="1"/>
  <c r="H50" i="7" s="1"/>
  <c r="H51" i="7" s="1"/>
  <c r="H52" i="7" s="1"/>
  <c r="H53" i="7" s="1"/>
  <c r="H54" i="7" s="1"/>
  <c r="H55" i="7" s="1"/>
  <c r="H56" i="7" s="1"/>
  <c r="H57" i="7" s="1"/>
  <c r="H58" i="7" s="1"/>
  <c r="H59" i="7" s="1"/>
  <c r="H60" i="7" s="1"/>
  <c r="H61" i="7" s="1"/>
  <c r="H62" i="7" s="1"/>
  <c r="H63" i="7" s="1"/>
  <c r="H64" i="7" s="1"/>
  <c r="H65" i="7" s="1"/>
  <c r="H66" i="7" s="1"/>
  <c r="H67" i="7" s="1"/>
</calcChain>
</file>

<file path=xl/sharedStrings.xml><?xml version="1.0" encoding="utf-8"?>
<sst xmlns="http://schemas.openxmlformats.org/spreadsheetml/2006/main" count="328" uniqueCount="233">
  <si>
    <t>Cr.</t>
  </si>
  <si>
    <t>Dr.</t>
  </si>
  <si>
    <t>BALANCE</t>
  </si>
  <si>
    <t>From</t>
  </si>
  <si>
    <t>Mode of Payment</t>
  </si>
  <si>
    <t>Recieved By</t>
  </si>
  <si>
    <t>Detail Of Transition / Expenses</t>
  </si>
  <si>
    <t>Cash</t>
  </si>
  <si>
    <t>Date</t>
  </si>
  <si>
    <t xml:space="preserve"> </t>
  </si>
  <si>
    <t>Last Month Balance</t>
  </si>
  <si>
    <t>Porter Frome Excel to Neyracle Health C4850</t>
  </si>
  <si>
    <t>Porter Powder Coating pickup from CMS C4878</t>
  </si>
  <si>
    <t xml:space="preserve">Porter From C4880 MSL PACIFIC LABS TO Englabs </t>
  </si>
  <si>
    <t>Notary From Arjun ji</t>
  </si>
  <si>
    <t>Bharat Anand</t>
  </si>
  <si>
    <t>Parveen Kumar</t>
  </si>
  <si>
    <t>Milk bill From 22 Dec2025 to 6th Jan 2026 (Vender Details : …....................................)</t>
  </si>
  <si>
    <t>Milk &amp; Ginger bill Only Sunday by Arjun (Vender Details:…...........................................)</t>
  </si>
  <si>
    <t>Porter From C4880 Englabs to Aebocode</t>
  </si>
  <si>
    <t>Paytm</t>
  </si>
  <si>
    <t>Milk &amp;bill Only  by Arjun (Vender Details:…...........................................)</t>
  </si>
  <si>
    <t>Porter  FROM PLASTICPACK TO CORIER GUY Project ID C4882</t>
  </si>
  <si>
    <t>Chandigarh airport Parking Bill Payments (Shiv Narayan Driver Englabs)</t>
  </si>
  <si>
    <t xml:space="preserve">Sugar &amp; Tea </t>
  </si>
  <si>
    <t>NEFT</t>
  </si>
  <si>
    <t xml:space="preserve">GAURAV </t>
  </si>
  <si>
    <t>Ratnesh</t>
  </si>
  <si>
    <t>Porter From C4465 Ankit Industrial to Englabs</t>
  </si>
  <si>
    <t>Porter From Elin to Englabs C4873</t>
  </si>
  <si>
    <t>Porter From Labat Asia to Englabs C4803</t>
  </si>
  <si>
    <t>Porter From Talekar to Airport C4845</t>
  </si>
  <si>
    <t>Porter From Workaad to Railway Station C4888</t>
  </si>
  <si>
    <t>Porter From Railway Station to Englabs  C4888</t>
  </si>
  <si>
    <t>Porter Englabs to Excel Sample C4842</t>
  </si>
  <si>
    <t>Porter Aebocode courier C4728</t>
  </si>
  <si>
    <t>Porter From CMS to Englabs C4874</t>
  </si>
  <si>
    <t>Pickup</t>
  </si>
  <si>
    <t>Tea No Details</t>
  </si>
  <si>
    <t>Exp  223+167</t>
  </si>
  <si>
    <t>Porter From Talekar to Airport C4891</t>
  </si>
  <si>
    <t>Porter From Airport to Talekar  C4891</t>
  </si>
  <si>
    <t>C4465 Not Bolt JV Mill</t>
  </si>
  <si>
    <t>Porter From Pacificlab to Englabs</t>
  </si>
  <si>
    <t>Porter From CMS to Englabs C4867</t>
  </si>
  <si>
    <t>Porter From Englabs to DTDC C4867</t>
  </si>
  <si>
    <t>Porter From Excel To Design Mind C4892 &amp; C4895</t>
  </si>
  <si>
    <t>Print A0 Size Saha, Ambala</t>
  </si>
  <si>
    <t>Porter From Faridabaad to Kyocera C4898</t>
  </si>
  <si>
    <t>Porter From Amuse 3D to Airport Chennai</t>
  </si>
  <si>
    <t xml:space="preserve">Porter From New Panchkula graphic to HSVP Sec 6 Panchkula Print </t>
  </si>
  <si>
    <t>Porter From Airport to Henkel C4891</t>
  </si>
  <si>
    <t>An unexplained cash discrepancy of 168 was noted at the site.</t>
  </si>
  <si>
    <t xml:space="preserve">Porter From Englabs to Chandigarh Paints </t>
  </si>
  <si>
    <t xml:space="preserve">Puchased Materials (Slipper-5, Zip Lock - 6, Tissu Roll - 24, Garbej Bag - 20, Petro;-rs100) By Arjun, </t>
  </si>
  <si>
    <t>Porter From Rapidroto to Airport (11-01-2026) by Shubham</t>
  </si>
  <si>
    <t>Porter From Faridabad to Bajaj Courier by Shubham</t>
  </si>
  <si>
    <t xml:space="preserve">Puchased Materials (Pen 20Nos) By Arjun, </t>
  </si>
  <si>
    <t>Porter From  Englabs to Aebocode C4811</t>
  </si>
  <si>
    <t xml:space="preserve">RATNESH </t>
  </si>
  <si>
    <t>BHARAT SIR</t>
  </si>
  <si>
    <t>Porter From Excel to Design Mind C4892 &amp; C4842 by Shubham</t>
  </si>
  <si>
    <t>Airport Payments shivnarayan by, Shubham</t>
  </si>
  <si>
    <t xml:space="preserve">Puchased Materials (Butter Paper From Part Packing 25Nos) By Arjun, </t>
  </si>
  <si>
    <t>Puchased Milk Local Shop (10-JAN_2026_TO_18-JAN-2026) Packet 18 Rate 32 , 32*18=576,,,,,,By Arjun</t>
  </si>
  <si>
    <t>Cab Englabs to Phase 2 up &amp; Down , Kartik for Office Work</t>
  </si>
  <si>
    <t xml:space="preserve">Porter From Excel to Delhi </t>
  </si>
  <si>
    <t xml:space="preserve">Porter From Englabs to Elin C4909 </t>
  </si>
  <si>
    <t>Cab Delhi to Chandi Garh C4909, C4919</t>
  </si>
  <si>
    <t xml:space="preserve">Porter Mohali to Englabs for HG Cleaning </t>
  </si>
  <si>
    <t>Porter From Englabs to Hella C4913</t>
  </si>
  <si>
    <t>Porter From Englabs to Aebocode</t>
  </si>
  <si>
    <t>Naveen</t>
  </si>
  <si>
    <t>Anurag</t>
  </si>
  <si>
    <t>Porter From Excel to Railway Station Delhi C4913 , C4909, (Rukshar Khatoon) by Shubham</t>
  </si>
  <si>
    <t>Porter From Plastic Pack to Workad to Delhi Railway Station, C4933, C4781, C4905, by Shubham</t>
  </si>
  <si>
    <t xml:space="preserve">Porter From Englabs to Redington PDC by Ratnesh </t>
  </si>
  <si>
    <t>Cab Delhi to Airport C4909, C4919 by Shubham</t>
  </si>
  <si>
    <t>Cab Delhi to Chandigarh C4909, C4919 by Shubham</t>
  </si>
  <si>
    <t>Porter From Balaji to Englabs Foam rolll &amp; Sheets by Gaurav</t>
  </si>
  <si>
    <t>Purchased to Ginger for Tea Time by Arjun</t>
  </si>
  <si>
    <t xml:space="preserve">Porter Englabs to Aebocode </t>
  </si>
  <si>
    <t>Chair Repair All Englabs by Shrerya Mam &amp; Gaurav</t>
  </si>
  <si>
    <t xml:space="preserve">Food no Details </t>
  </si>
  <si>
    <t>Mukesh Carpenter Bill No. 10</t>
  </si>
  <si>
    <t>Porter to Hella C4781</t>
  </si>
  <si>
    <t>Porter From Englabs to Zirakpur  By Shubham</t>
  </si>
  <si>
    <t>Porter From Delhi to Faridabad  Shubham</t>
  </si>
  <si>
    <t>Porter From Chandigar to Delhi By Shubham</t>
  </si>
  <si>
    <t>Porter From Excel to Delhi C4781 By Shubham</t>
  </si>
  <si>
    <t>Porter to Orient C4925</t>
  </si>
  <si>
    <t xml:space="preserve">Porter From Englabs to MSL C4863 By Sunny </t>
  </si>
  <si>
    <t>Porter From Englabs to Chandigarh C4009, C4913</t>
  </si>
  <si>
    <t>Sohan Lal by Anurag</t>
  </si>
  <si>
    <t>Porter From Excel to Delhi C4719 By Shubham</t>
  </si>
  <si>
    <t>Porter From Delhi to Chandigarh C4919 By Shubham</t>
  </si>
  <si>
    <t>Porter From Workaad to CHD Railway Station C4933, C4935 By Shubham</t>
  </si>
  <si>
    <t>paytm</t>
  </si>
  <si>
    <t>Pacific Labs</t>
  </si>
  <si>
    <t xml:space="preserve">Porter From Englabs to Aebocode </t>
  </si>
  <si>
    <t xml:space="preserve">Cab From Chandigarh to MSL </t>
  </si>
  <si>
    <t xml:space="preserve">Purchase to Surf, cell, ginger by Arjun </t>
  </si>
  <si>
    <t>Porter From CMS to Englabs C4828</t>
  </si>
  <si>
    <t>Porter Hella Delivery C4828</t>
  </si>
  <si>
    <t>Kunwarlal Salary Advance by Sunny Singla</t>
  </si>
  <si>
    <t>Sunny Singla</t>
  </si>
  <si>
    <t>Porter From Plastipack to Delhi Trai C4949</t>
  </si>
  <si>
    <r>
      <t xml:space="preserve">A/C Holder :- Englabs Site Cash   </t>
    </r>
    <r>
      <rPr>
        <b/>
        <u/>
        <sz val="10"/>
        <color rgb="FFED0000"/>
        <rFont val="Cambria"/>
        <family val="1"/>
        <scheme val="major"/>
      </rPr>
      <t>JANUARY 2026</t>
    </r>
  </si>
  <si>
    <t xml:space="preserve">Last Month Balance </t>
  </si>
  <si>
    <t>Porter From Pacific to Englabs C4958</t>
  </si>
  <si>
    <t>Purchased Suger, tea leaf  Local Shop</t>
  </si>
  <si>
    <t>Milk &amp;bill Only 19-Jan to 31-Jan By Arjun , Local Shop</t>
  </si>
  <si>
    <t>Porter From Englabs to Jal C4957</t>
  </si>
  <si>
    <t>Porter From CMS to Englabs C4717</t>
  </si>
  <si>
    <t>Porter From Pune to Mumbai</t>
  </si>
  <si>
    <t>Porter From Englabs to Hella C4941</t>
  </si>
  <si>
    <t>Porter From Englabs To Hella    C4971</t>
  </si>
  <si>
    <t>Porter by RapidoFrom CHD RLY to Englabs .   C4949, C4959, C4957</t>
  </si>
  <si>
    <t>Porter From Plastic To Delhi RYL   C4949, C4959</t>
  </si>
  <si>
    <t>Porter by Train From Delhi RLY to Chandigarh RLY .   C4949, C4959, C4957</t>
  </si>
  <si>
    <t>ENGLABS SITE CASH ACCOUNTS</t>
  </si>
  <si>
    <t>ENGLABS SALARY ACCOUNTS</t>
  </si>
  <si>
    <t>Kusum didi Salary by Shubham Account</t>
  </si>
  <si>
    <t>Porter From Labat PC to CMS C4539</t>
  </si>
  <si>
    <t>Porter Englabs to to Hella C4961</t>
  </si>
  <si>
    <t>Porter Englabs to Zirakpur C4887</t>
  </si>
  <si>
    <t>Porter Englabs to Sark Industries C4968</t>
  </si>
  <si>
    <t>Porter From Delhi to Chandigarh C4968, C4970, C4934, C4958, C4961</t>
  </si>
  <si>
    <t>Porter From Talekar to Airport C4952</t>
  </si>
  <si>
    <t>Porter From Chandigarh Airport to Chennai Henkel Office C4953</t>
  </si>
  <si>
    <t>Courier From Faridabad to Englabs C4973 by Rohit Verma</t>
  </si>
  <si>
    <t>Porter From CMS to Englabs C4539</t>
  </si>
  <si>
    <t>Courier From Englabs to Passim  C4934 by Rohit Verma</t>
  </si>
  <si>
    <t>Milk &amp;bill (Date 02-Feb to 10-Feb) By Arjun , Local Shop</t>
  </si>
  <si>
    <t>Porter From Faridabad to Baaz Gurugram C4972</t>
  </si>
  <si>
    <t>Porter From CICU to Englabs C4965, C4986</t>
  </si>
  <si>
    <t xml:space="preserve">UPI Circle Payments Check Team </t>
  </si>
  <si>
    <t>UPI Circle Payments Check Team</t>
  </si>
  <si>
    <t>Porter From Workaad to Faridabaad By Rohit C4874</t>
  </si>
  <si>
    <t>Porter From Plastipackto Faridabad by Rohit  C4974</t>
  </si>
  <si>
    <t>Porter From Englabs to Aebocode C4872</t>
  </si>
  <si>
    <t>Porter From Englabs to Hella C4954</t>
  </si>
  <si>
    <t xml:space="preserve">Purchased Sanding Paper 100, by arjun </t>
  </si>
  <si>
    <t>Porter From Englabs to Sec 38 , Redinton Check by Ratnesh</t>
  </si>
  <si>
    <t xml:space="preserve">Cash Back Received </t>
  </si>
  <si>
    <t>UPI</t>
  </si>
  <si>
    <t>Breakfast Gaurav MSL Visit</t>
  </si>
  <si>
    <t>Porter  From Excel to Marelli C4985</t>
  </si>
  <si>
    <t>Porter From  Delhi to Chandigarh by Car C4611</t>
  </si>
  <si>
    <t xml:space="preserve">USB Type B </t>
  </si>
  <si>
    <t>Porter From Englabs to SML Office C4611</t>
  </si>
  <si>
    <t>Porter From Englabs to Aebocode C4956</t>
  </si>
  <si>
    <t>Milk &amp;bill (Date…....................................) By Arjun , Local Shop</t>
  </si>
  <si>
    <t>Porter From Englabs to SG Engineering C4977</t>
  </si>
  <si>
    <t xml:space="preserve">UPI By Shubham </t>
  </si>
  <si>
    <t>Porter From Englabs to ADSL Lalru C4788</t>
  </si>
  <si>
    <t>Puchased  Coffee Pouch 150pcs</t>
  </si>
  <si>
    <t>Porter From Plastipack to Workaad C4994</t>
  </si>
  <si>
    <t xml:space="preserve">Ride From Englabs to Phase for Shiv Narayan </t>
  </si>
  <si>
    <t>Black Spray Coat Charges Workaad Without GST C4994</t>
  </si>
  <si>
    <t>Englabs to Bharat Anand ,  Bainsa Tibba Account Bill No. 43</t>
  </si>
  <si>
    <t>Uber From Delhi to Endureair C4998, C5004</t>
  </si>
  <si>
    <t>Uber From Chandigarh to Delhi  C4998, C5004</t>
  </si>
  <si>
    <t xml:space="preserve">Porter From to Englabs to SG Engineeing C5017 </t>
  </si>
  <si>
    <t>Englabs to TCP NCR Sec 18 , Gaurav</t>
  </si>
  <si>
    <t>TCP NCR Sec 18 to Englabs Gaurav</t>
  </si>
  <si>
    <t>Porter From Adroitec to Orient C5026</t>
  </si>
  <si>
    <t>Porter Faridabad to AV Maching  C5000</t>
  </si>
  <si>
    <t>Blinkit wallet Account Transfer</t>
  </si>
  <si>
    <t xml:space="preserve">Purchased Suger + Chaye patti , by arjun </t>
  </si>
  <si>
    <t>Englabs to HSVP Ambala up &amp; Down + Food , Gaurav</t>
  </si>
  <si>
    <t>The auto rent fan has been sent to the repair shop by Thakur Parshad.</t>
  </si>
  <si>
    <t>Porter From to  ebocode C5019</t>
  </si>
  <si>
    <t xml:space="preserve">Amzone Parcel Puching  machin PCB  Part  By Monal Saini </t>
  </si>
  <si>
    <t xml:space="preserve">Amzone Parcel Puching  machin  Reele  Part  By Monal Saini </t>
  </si>
  <si>
    <t xml:space="preserve">Purchased Adrak , by arjun </t>
  </si>
  <si>
    <t xml:space="preserve">Porter From Excel to Bjaj C4969  by Shubham </t>
  </si>
  <si>
    <t>A/C Holder :- Englabs Site Cash   February 2026</t>
  </si>
  <si>
    <t>A/C Holder :- Englabs Site Cash   March 2026</t>
  </si>
  <si>
    <t xml:space="preserve">Porter From Marco polo to …..............    C5005 </t>
  </si>
  <si>
    <t xml:space="preserve">AC Mentinance Service Room No. 1061  7th Floor by Parmod Bahl </t>
  </si>
  <si>
    <t>Porter From Workaad to siccu Sample Part By Shubham</t>
  </si>
  <si>
    <t xml:space="preserve">Fan repairing rent by Thakur </t>
  </si>
  <si>
    <t>3 Fan Reparing  By Thakur</t>
  </si>
  <si>
    <t>Purchase POWER CONNECT 2-Way Push Fit Connector (SET OF 50 Pieces) by Anurag</t>
  </si>
  <si>
    <t xml:space="preserve">Porter Delhi to Chandigarh C5040 BY Shubham </t>
  </si>
  <si>
    <t xml:space="preserve">Porter Workaad to Pltipck to Delhi C5040 by Shubham </t>
  </si>
  <si>
    <t xml:space="preserve">Porter  Englabs to Zirakpur c5040 By Shubham </t>
  </si>
  <si>
    <t xml:space="preserve">Porter  From Englabs to Sark Industries C5038 By Shubham </t>
  </si>
  <si>
    <t>Porter Railway Station CHD to Englabs C5040 By Shubham</t>
  </si>
  <si>
    <t xml:space="preserve">Porter From Delhi to Endureair C5004 By Shubham </t>
  </si>
  <si>
    <t>Porter From CHD to Delhi C5004 By Shubham</t>
  </si>
  <si>
    <t xml:space="preserve">Porter  From Englabs to Zirakpur C5004 &amp; C4998 By Shubham </t>
  </si>
  <si>
    <t>Milk &amp;bill (Date 01 to 11 March ) By Arjun , Local Shop</t>
  </si>
  <si>
    <t>Milk &amp;bill (Date18 to 28 feb) By Arjun , Local Shop</t>
  </si>
  <si>
    <t>Porter  From Chandigarh to Delhi C5004 By Shubham</t>
  </si>
  <si>
    <t>Porter  From Plastipack to ….............. C5033 By Shubham</t>
  </si>
  <si>
    <t xml:space="preserve">Porter Faridabad to Mumbai C5033 By Shubham </t>
  </si>
  <si>
    <t>Porter From CHD to Delhi C5049 By Shubham</t>
  </si>
  <si>
    <t xml:space="preserve">Porter From Delhi to Endureair C4998 By Shubham </t>
  </si>
  <si>
    <t>Porter From Englabs to Simsun C5040</t>
  </si>
  <si>
    <t>Porter From Plastipack to Railway Station …............ C5040</t>
  </si>
  <si>
    <t xml:space="preserve">Porter  From Delhi ti CHD C5040 By Shubham </t>
  </si>
  <si>
    <t>Porter  From CHD RLY to Englabs C5040 By Shubham</t>
  </si>
  <si>
    <t>Porter From Faridabad to Mumbai C5033 By Shubham</t>
  </si>
  <si>
    <t>Purchase Electrical Tape Fro Dalmitra Project By Arjun</t>
  </si>
  <si>
    <t xml:space="preserve">Porter From Englabs to Aebocode C…........ </t>
  </si>
  <si>
    <t>Porter  From Englabs to Aebocode C…............</t>
  </si>
  <si>
    <t xml:space="preserve">Paid to Gaurav 7th March TCP Sec-18 Food or 8th March DTP Kaithal Breakfast only </t>
  </si>
  <si>
    <t>Porter From Englabs to Vijay Sir Home C5013</t>
  </si>
  <si>
    <t>Porter From Plastipack to Railway Station Delhi  C5050</t>
  </si>
  <si>
    <t>Porter From Englabs to Aebocode C5019, C5065, C4872</t>
  </si>
  <si>
    <t>Porter From Englabs to PDC by Shubham</t>
  </si>
  <si>
    <t>Porter From Workaad to Karnal bypass C5056, C5063</t>
  </si>
  <si>
    <t>Porter From Englabs to Zirakpur C5049</t>
  </si>
  <si>
    <t>Porter  From ABS to Workaad C5049</t>
  </si>
  <si>
    <t>Porter From MJF Delhi to Nipa C5049</t>
  </si>
  <si>
    <t>Porter From Plastipack to BCH C5058</t>
  </si>
  <si>
    <t>Porter From Plastipack to Railway Station Delhi C5050</t>
  </si>
  <si>
    <t>Porter From Delhi Railway Station to Chandigarh Railway Station C5050</t>
  </si>
  <si>
    <t>Porter  From Delhi to Chandigarh C5056, C5063</t>
  </si>
  <si>
    <t>Porter Airport to Hankel C5008</t>
  </si>
  <si>
    <t>Porter From Englabs to Sark C5063</t>
  </si>
  <si>
    <t>Ratnesh No Remarks</t>
  </si>
  <si>
    <t>Porter From Englabs to Scope Derabassi C5060</t>
  </si>
  <si>
    <t>Porter Aebocode C5061</t>
  </si>
  <si>
    <t xml:space="preserve">Purchased to Adrak by Arjin </t>
  </si>
  <si>
    <t xml:space="preserve">Transfer to Blinkit Wallet </t>
  </si>
  <si>
    <t xml:space="preserve">Purchase  to Exhaust Fan for Workshop </t>
  </si>
  <si>
    <t>NPCI BHIM CASH BACK</t>
  </si>
  <si>
    <t>Porter  From to hella frol Plastipack to Delhi C5010</t>
  </si>
  <si>
    <t>Porter  From Delhi to Chandigarh C5010</t>
  </si>
  <si>
    <t>Porter From to Mohali to Hella part C5010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</si>
</sst>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[$-F800]dddd\,\ mmmm\ dd\,\ yyyy"/>
    <numFmt numFmtId="166" formatCode="_(* #,##0_);_(* \(#,##0\);_(* &quot;-&quot;??_);_(@_)"/>
    <numFmt numFmtId="167" formatCode="_ * #,##0.0_ ;_ * \-#,##0.0_ ;_ * &quot;-&quot;??_ ;_ @_ "/>
    <numFmt numFmtId="168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mbria"/>
      <family val="1"/>
      <scheme val="major"/>
    </font>
    <font>
      <b/>
      <u/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u/>
      <sz val="10"/>
      <name val="Cambria"/>
      <family val="1"/>
      <scheme val="major"/>
    </font>
    <font>
      <sz val="10"/>
      <name val="Cambria"/>
      <family val="1"/>
      <scheme val="major"/>
    </font>
    <font>
      <b/>
      <u/>
      <sz val="10"/>
      <color rgb="FFED0000"/>
      <name val="Cambria"/>
      <family val="1"/>
      <scheme val="major"/>
    </font>
    <font>
      <b/>
      <u/>
      <sz val="14"/>
      <color theme="1"/>
      <name val="Cambria"/>
      <family val="1"/>
      <scheme val="maj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7">
    <xf numFmtId="0" fontId="0" fillId="0" borderId="0" xfId="0"/>
    <xf numFmtId="0" fontId="2" fillId="0" borderId="0" xfId="0" applyFont="1"/>
    <xf numFmtId="166" fontId="4" fillId="0" borderId="3" xfId="1" applyNumberFormat="1" applyFont="1" applyBorder="1" applyAlignment="1">
      <alignment horizontal="center"/>
    </xf>
    <xf numFmtId="166" fontId="4" fillId="0" borderId="2" xfId="1" applyNumberFormat="1" applyFont="1" applyBorder="1" applyAlignment="1">
      <alignment horizontal="center"/>
    </xf>
    <xf numFmtId="165" fontId="4" fillId="3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 wrapText="1"/>
    </xf>
    <xf numFmtId="0" fontId="2" fillId="0" borderId="5" xfId="0" applyFont="1" applyBorder="1"/>
    <xf numFmtId="167" fontId="2" fillId="0" borderId="5" xfId="1" applyNumberFormat="1" applyFont="1" applyFill="1" applyBorder="1" applyAlignment="1">
      <alignment horizontal="center"/>
    </xf>
    <xf numFmtId="167" fontId="4" fillId="0" borderId="5" xfId="1" applyNumberFormat="1" applyFont="1" applyBorder="1"/>
    <xf numFmtId="0" fontId="4" fillId="0" borderId="1" xfId="0" applyFont="1" applyBorder="1" applyAlignment="1">
      <alignment horizontal="left" wrapText="1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  <xf numFmtId="167" fontId="4" fillId="0" borderId="1" xfId="1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165" fontId="2" fillId="0" borderId="0" xfId="0" applyNumberFormat="1" applyFont="1" applyAlignment="1">
      <alignment horizontal="left"/>
    </xf>
    <xf numFmtId="168" fontId="2" fillId="0" borderId="1" xfId="0" applyNumberFormat="1" applyFont="1" applyBorder="1" applyAlignment="1">
      <alignment horizontal="left" vertical="center"/>
    </xf>
    <xf numFmtId="168" fontId="2" fillId="0" borderId="1" xfId="0" applyNumberFormat="1" applyFont="1" applyBorder="1" applyAlignment="1">
      <alignment horizontal="left"/>
    </xf>
    <xf numFmtId="0" fontId="2" fillId="0" borderId="0" xfId="0" applyFont="1" applyAlignment="1">
      <alignment horizontal="center"/>
    </xf>
    <xf numFmtId="167" fontId="4" fillId="0" borderId="1" xfId="1" applyNumberFormat="1" applyFont="1" applyFill="1" applyBorder="1" applyAlignment="1">
      <alignment vertical="center"/>
    </xf>
    <xf numFmtId="167" fontId="2" fillId="0" borderId="1" xfId="1" applyNumberFormat="1" applyFont="1" applyFill="1" applyBorder="1" applyAlignment="1">
      <alignment vertical="center"/>
    </xf>
    <xf numFmtId="0" fontId="2" fillId="0" borderId="1" xfId="0" applyFont="1" applyBorder="1" applyAlignment="1">
      <alignment horizontal="left"/>
    </xf>
    <xf numFmtId="167" fontId="6" fillId="0" borderId="1" xfId="1" applyNumberFormat="1" applyFont="1" applyFill="1" applyBorder="1" applyAlignment="1">
      <alignment vertical="center"/>
    </xf>
    <xf numFmtId="166" fontId="3" fillId="4" borderId="4" xfId="1" applyNumberFormat="1" applyFont="1" applyFill="1" applyBorder="1" applyAlignment="1">
      <alignment horizontal="center"/>
    </xf>
    <xf numFmtId="166" fontId="3" fillId="5" borderId="4" xfId="1" applyNumberFormat="1" applyFont="1" applyFill="1" applyBorder="1" applyAlignment="1">
      <alignment horizontal="center"/>
    </xf>
    <xf numFmtId="166" fontId="7" fillId="6" borderId="4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vertical="center"/>
    </xf>
    <xf numFmtId="167" fontId="2" fillId="5" borderId="1" xfId="1" applyNumberFormat="1" applyFont="1" applyFill="1" applyBorder="1" applyAlignment="1">
      <alignment vertical="center"/>
    </xf>
    <xf numFmtId="167" fontId="4" fillId="5" borderId="1" xfId="1" applyNumberFormat="1" applyFont="1" applyFill="1" applyBorder="1" applyAlignment="1">
      <alignment vertical="center"/>
    </xf>
    <xf numFmtId="167" fontId="4" fillId="7" borderId="1" xfId="1" applyNumberFormat="1" applyFont="1" applyFill="1" applyBorder="1" applyAlignment="1">
      <alignment vertical="center"/>
    </xf>
    <xf numFmtId="0" fontId="2" fillId="8" borderId="1" xfId="0" applyFont="1" applyFill="1" applyBorder="1"/>
    <xf numFmtId="165" fontId="2" fillId="0" borderId="12" xfId="0" applyNumberFormat="1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7" xfId="0" applyFont="1" applyBorder="1"/>
    <xf numFmtId="0" fontId="3" fillId="2" borderId="13" xfId="0" applyFont="1" applyFill="1" applyBorder="1" applyAlignment="1">
      <alignment horizontal="center"/>
    </xf>
    <xf numFmtId="0" fontId="2" fillId="0" borderId="14" xfId="0" applyFont="1" applyBorder="1"/>
    <xf numFmtId="165" fontId="2" fillId="0" borderId="15" xfId="0" applyNumberFormat="1" applyFont="1" applyBorder="1" applyAlignment="1">
      <alignment horizontal="left"/>
    </xf>
    <xf numFmtId="166" fontId="4" fillId="0" borderId="16" xfId="1" applyNumberFormat="1" applyFont="1" applyBorder="1" applyAlignment="1">
      <alignment horizontal="center"/>
    </xf>
    <xf numFmtId="168" fontId="2" fillId="0" borderId="17" xfId="0" applyNumberFormat="1" applyFont="1" applyBorder="1" applyAlignment="1">
      <alignment horizontal="left"/>
    </xf>
    <xf numFmtId="167" fontId="2" fillId="0" borderId="18" xfId="1" applyNumberFormat="1" applyFont="1" applyBorder="1"/>
    <xf numFmtId="168" fontId="2" fillId="0" borderId="8" xfId="0" applyNumberFormat="1" applyFont="1" applyBorder="1" applyAlignment="1">
      <alignment horizontal="left" vertical="center"/>
    </xf>
    <xf numFmtId="167" fontId="2" fillId="0" borderId="19" xfId="1" applyNumberFormat="1" applyFont="1" applyBorder="1" applyAlignment="1">
      <alignment vertical="center"/>
    </xf>
    <xf numFmtId="168" fontId="2" fillId="0" borderId="20" xfId="0" applyNumberFormat="1" applyFont="1" applyBorder="1" applyAlignment="1">
      <alignment horizontal="center" vertical="center"/>
    </xf>
    <xf numFmtId="167" fontId="2" fillId="0" borderId="19" xfId="1" applyNumberFormat="1" applyFont="1" applyFill="1" applyBorder="1" applyAlignment="1">
      <alignment vertical="center"/>
    </xf>
    <xf numFmtId="168" fontId="2" fillId="0" borderId="17" xfId="0" applyNumberFormat="1" applyFont="1" applyBorder="1" applyAlignment="1">
      <alignment horizontal="center" vertical="center"/>
    </xf>
    <xf numFmtId="168" fontId="2" fillId="0" borderId="8" xfId="0" applyNumberFormat="1" applyFont="1" applyBorder="1" applyAlignment="1">
      <alignment horizontal="left"/>
    </xf>
    <xf numFmtId="168" fontId="2" fillId="0" borderId="9" xfId="0" applyNumberFormat="1" applyFont="1" applyBorder="1" applyAlignment="1">
      <alignment horizontal="left"/>
    </xf>
    <xf numFmtId="0" fontId="2" fillId="0" borderId="10" xfId="0" applyFont="1" applyBorder="1" applyAlignment="1">
      <alignment horizontal="left" wrapText="1"/>
    </xf>
    <xf numFmtId="0" fontId="2" fillId="0" borderId="10" xfId="0" applyFont="1" applyBorder="1"/>
    <xf numFmtId="167" fontId="2" fillId="0" borderId="10" xfId="1" applyNumberFormat="1" applyFont="1" applyFill="1" applyBorder="1" applyAlignment="1">
      <alignment vertical="center"/>
    </xf>
    <xf numFmtId="167" fontId="4" fillId="0" borderId="10" xfId="1" applyNumberFormat="1" applyFont="1" applyFill="1" applyBorder="1" applyAlignment="1">
      <alignment vertical="center"/>
    </xf>
    <xf numFmtId="167" fontId="2" fillId="0" borderId="11" xfId="1" applyNumberFormat="1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7" borderId="1" xfId="0" applyFont="1" applyFill="1" applyBorder="1"/>
    <xf numFmtId="168" fontId="2" fillId="0" borderId="5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left" wrapText="1"/>
    </xf>
    <xf numFmtId="167" fontId="2" fillId="0" borderId="5" xfId="1" applyNumberFormat="1" applyFont="1" applyFill="1" applyBorder="1" applyAlignment="1">
      <alignment vertical="center"/>
    </xf>
    <xf numFmtId="167" fontId="4" fillId="0" borderId="5" xfId="1" applyNumberFormat="1" applyFont="1" applyFill="1" applyBorder="1" applyAlignment="1">
      <alignment vertical="center"/>
    </xf>
    <xf numFmtId="166" fontId="4" fillId="0" borderId="1" xfId="1" applyNumberFormat="1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166" fontId="7" fillId="6" borderId="1" xfId="1" applyNumberFormat="1" applyFont="1" applyFill="1" applyBorder="1" applyAlignment="1">
      <alignment horizontal="center"/>
    </xf>
    <xf numFmtId="166" fontId="3" fillId="5" borderId="1" xfId="1" applyNumberFormat="1" applyFont="1" applyFill="1" applyBorder="1" applyAlignment="1">
      <alignment horizontal="center"/>
    </xf>
    <xf numFmtId="167" fontId="2" fillId="0" borderId="1" xfId="1" applyNumberFormat="1" applyFont="1" applyFill="1" applyBorder="1" applyAlignment="1">
      <alignment horizontal="center"/>
    </xf>
    <xf numFmtId="167" fontId="4" fillId="0" borderId="1" xfId="1" applyNumberFormat="1" applyFont="1" applyBorder="1"/>
    <xf numFmtId="167" fontId="6" fillId="0" borderId="5" xfId="1" applyNumberFormat="1" applyFont="1" applyFill="1" applyBorder="1" applyAlignment="1">
      <alignment vertical="center"/>
    </xf>
    <xf numFmtId="165" fontId="2" fillId="0" borderId="8" xfId="0" applyNumberFormat="1" applyFont="1" applyBorder="1" applyAlignment="1">
      <alignment horizontal="left"/>
    </xf>
    <xf numFmtId="166" fontId="4" fillId="0" borderId="19" xfId="1" applyNumberFormat="1" applyFont="1" applyBorder="1" applyAlignment="1">
      <alignment horizontal="center"/>
    </xf>
    <xf numFmtId="165" fontId="4" fillId="3" borderId="8" xfId="0" applyNumberFormat="1" applyFont="1" applyFill="1" applyBorder="1" applyAlignment="1">
      <alignment horizontal="center" vertical="center"/>
    </xf>
    <xf numFmtId="166" fontId="3" fillId="4" borderId="19" xfId="1" applyNumberFormat="1" applyFont="1" applyFill="1" applyBorder="1" applyAlignment="1">
      <alignment horizontal="center"/>
    </xf>
    <xf numFmtId="167" fontId="2" fillId="0" borderId="19" xfId="1" applyNumberFormat="1" applyFont="1" applyBorder="1"/>
    <xf numFmtId="168" fontId="2" fillId="0" borderId="8" xfId="0" applyNumberFormat="1" applyFont="1" applyBorder="1" applyAlignment="1">
      <alignment horizontal="center" vertical="center"/>
    </xf>
    <xf numFmtId="167" fontId="6" fillId="0" borderId="10" xfId="1" applyNumberFormat="1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8" fontId="2" fillId="0" borderId="8" xfId="0" applyNumberFormat="1" applyFont="1" applyBorder="1" applyAlignment="1">
      <alignment vertical="center"/>
    </xf>
    <xf numFmtId="168" fontId="2" fillId="0" borderId="9" xfId="0" applyNumberFormat="1" applyFont="1" applyBorder="1" applyAlignment="1">
      <alignment vertical="center"/>
    </xf>
    <xf numFmtId="0" fontId="5" fillId="0" borderId="0" xfId="0" applyFont="1" applyAlignment="1">
      <alignment horizontal="center"/>
    </xf>
    <xf numFmtId="168" fontId="2" fillId="0" borderId="20" xfId="0" applyNumberFormat="1" applyFont="1" applyBorder="1" applyAlignment="1">
      <alignment horizontal="center" vertical="center"/>
    </xf>
    <xf numFmtId="168" fontId="2" fillId="0" borderId="21" xfId="0" applyNumberFormat="1" applyFont="1" applyBorder="1" applyAlignment="1">
      <alignment horizontal="center" vertical="center"/>
    </xf>
    <xf numFmtId="168" fontId="2" fillId="0" borderId="17" xfId="0" applyNumberFormat="1" applyFont="1" applyBorder="1" applyAlignment="1">
      <alignment horizontal="center" vertical="center"/>
    </xf>
    <xf numFmtId="168" fontId="2" fillId="0" borderId="8" xfId="0" applyNumberFormat="1" applyFont="1" applyBorder="1" applyAlignment="1">
      <alignment horizontal="center" vertical="center"/>
    </xf>
    <xf numFmtId="168" fontId="2" fillId="0" borderId="9" xfId="0" applyNumberFormat="1" applyFont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10" fillId="2" borderId="22" xfId="0" applyFont="1" applyFill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>
    <tabColor rgb="FFFF0000"/>
    <pageSetUpPr fitToPage="1"/>
  </sheetPr>
  <dimension ref="A1:I111"/>
  <sheetViews>
    <sheetView view="pageBreakPreview" topLeftCell="A61" zoomScale="115" zoomScaleNormal="100" zoomScaleSheetLayoutView="115" workbookViewId="0">
      <selection activeCell="E42" sqref="E42"/>
    </sheetView>
  </sheetViews>
  <sheetFormatPr defaultColWidth="8.85546875" defaultRowHeight="12.75" x14ac:dyDescent="0.2"/>
  <cols>
    <col min="1" max="1" width="10.5703125" style="19" bestFit="1" customWidth="1"/>
    <col min="2" max="2" width="13.28515625" style="16" bestFit="1" customWidth="1"/>
    <col min="3" max="3" width="21.28515625" style="1" bestFit="1" customWidth="1"/>
    <col min="4" max="4" width="15.42578125" style="1" bestFit="1" customWidth="1"/>
    <col min="5" max="5" width="95.5703125" style="1" bestFit="1" customWidth="1"/>
    <col min="6" max="6" width="11.85546875" style="1" bestFit="1" customWidth="1"/>
    <col min="7" max="7" width="12.7109375" style="1" customWidth="1"/>
    <col min="8" max="8" width="14.85546875" style="1" customWidth="1"/>
    <col min="9" max="9" width="2.28515625" style="1" bestFit="1" customWidth="1"/>
    <col min="10" max="16384" width="8.85546875" style="1"/>
  </cols>
  <sheetData>
    <row r="1" spans="1:8" x14ac:dyDescent="0.2">
      <c r="A1" s="35"/>
      <c r="B1" s="36"/>
      <c r="C1" s="37"/>
      <c r="D1" s="37"/>
      <c r="E1" s="38" t="s">
        <v>107</v>
      </c>
      <c r="F1" s="37"/>
      <c r="G1" s="37"/>
      <c r="H1" s="39"/>
    </row>
    <row r="2" spans="1:8" ht="13.5" thickBot="1" x14ac:dyDescent="0.25">
      <c r="A2" s="40"/>
      <c r="F2" s="2" t="s">
        <v>0</v>
      </c>
      <c r="G2" s="3" t="s">
        <v>1</v>
      </c>
      <c r="H2" s="41" t="s">
        <v>2</v>
      </c>
    </row>
    <row r="3" spans="1:8" s="22" customFormat="1" ht="13.5" thickBot="1" x14ac:dyDescent="0.25">
      <c r="A3" s="4" t="s">
        <v>8</v>
      </c>
      <c r="B3" s="5" t="s">
        <v>3</v>
      </c>
      <c r="C3" s="5" t="s">
        <v>4</v>
      </c>
      <c r="D3" s="5" t="s">
        <v>5</v>
      </c>
      <c r="E3" s="5" t="s">
        <v>6</v>
      </c>
      <c r="F3" s="29">
        <f>SUM(F4:F267)</f>
        <v>49684</v>
      </c>
      <c r="G3" s="28">
        <f>SUM(G4:G267)</f>
        <v>49539</v>
      </c>
      <c r="H3" s="27">
        <f>+F3-G3</f>
        <v>145</v>
      </c>
    </row>
    <row r="4" spans="1:8" x14ac:dyDescent="0.2">
      <c r="A4" s="42"/>
      <c r="B4" s="6"/>
      <c r="C4" s="6"/>
      <c r="D4" s="6"/>
      <c r="E4" s="7"/>
      <c r="F4" s="8"/>
      <c r="G4" s="9"/>
      <c r="H4" s="43"/>
    </row>
    <row r="5" spans="1:8" s="15" customFormat="1" x14ac:dyDescent="0.25">
      <c r="A5" s="44">
        <v>46023</v>
      </c>
      <c r="B5" s="17" t="s">
        <v>9</v>
      </c>
      <c r="C5" s="17" t="s">
        <v>9</v>
      </c>
      <c r="D5" s="17" t="s">
        <v>9</v>
      </c>
      <c r="E5" s="12" t="s">
        <v>10</v>
      </c>
      <c r="F5" s="13">
        <v>818</v>
      </c>
      <c r="G5" s="14">
        <v>0</v>
      </c>
      <c r="H5" s="45">
        <f t="shared" ref="H5:H86" si="0">H4+F5-G5</f>
        <v>818</v>
      </c>
    </row>
    <row r="6" spans="1:8" s="15" customFormat="1" x14ac:dyDescent="0.25">
      <c r="A6" s="85">
        <v>46024</v>
      </c>
      <c r="B6" s="17"/>
      <c r="C6" s="17"/>
      <c r="D6" s="17"/>
      <c r="E6" s="12" t="s">
        <v>11</v>
      </c>
      <c r="F6" s="24"/>
      <c r="G6" s="23">
        <v>400</v>
      </c>
      <c r="H6" s="47">
        <f t="shared" si="0"/>
        <v>418</v>
      </c>
    </row>
    <row r="7" spans="1:8" s="15" customFormat="1" x14ac:dyDescent="0.25">
      <c r="A7" s="87"/>
      <c r="B7" s="17"/>
      <c r="C7" s="17"/>
      <c r="D7" s="17"/>
      <c r="E7" s="12" t="s">
        <v>12</v>
      </c>
      <c r="F7" s="24"/>
      <c r="G7" s="23">
        <v>110</v>
      </c>
      <c r="H7" s="47">
        <f t="shared" si="0"/>
        <v>308</v>
      </c>
    </row>
    <row r="8" spans="1:8" s="15" customFormat="1" x14ac:dyDescent="0.25">
      <c r="A8" s="85">
        <v>46025</v>
      </c>
      <c r="B8" s="17"/>
      <c r="C8" s="17"/>
      <c r="D8" s="17"/>
      <c r="E8" s="12" t="s">
        <v>13</v>
      </c>
      <c r="F8" s="24"/>
      <c r="G8" s="23">
        <v>139</v>
      </c>
      <c r="H8" s="47">
        <f t="shared" si="0"/>
        <v>169</v>
      </c>
    </row>
    <row r="9" spans="1:8" s="15" customFormat="1" x14ac:dyDescent="0.25">
      <c r="A9" s="87"/>
      <c r="B9" s="17"/>
      <c r="C9" s="17"/>
      <c r="D9" s="17"/>
      <c r="E9" s="12" t="s">
        <v>19</v>
      </c>
      <c r="F9" s="24"/>
      <c r="G9" s="23">
        <v>82</v>
      </c>
      <c r="H9" s="47">
        <f t="shared" si="0"/>
        <v>87</v>
      </c>
    </row>
    <row r="10" spans="1:8" s="15" customFormat="1" x14ac:dyDescent="0.2">
      <c r="A10" s="44">
        <v>46027</v>
      </c>
      <c r="B10" s="18" t="s">
        <v>60</v>
      </c>
      <c r="C10" s="17" t="s">
        <v>7</v>
      </c>
      <c r="D10" s="17" t="s">
        <v>16</v>
      </c>
      <c r="E10" s="12" t="s">
        <v>14</v>
      </c>
      <c r="F10" s="24">
        <v>1620</v>
      </c>
      <c r="G10" s="23">
        <v>50</v>
      </c>
      <c r="H10" s="47">
        <f t="shared" si="0"/>
        <v>1657</v>
      </c>
    </row>
    <row r="11" spans="1:8" s="15" customFormat="1" x14ac:dyDescent="0.25">
      <c r="A11" s="85">
        <v>46028</v>
      </c>
      <c r="B11" s="17"/>
      <c r="C11" s="17"/>
      <c r="D11" s="17"/>
      <c r="E11" s="12" t="s">
        <v>17</v>
      </c>
      <c r="F11" s="24">
        <v>0</v>
      </c>
      <c r="G11" s="23">
        <v>1350</v>
      </c>
      <c r="H11" s="47">
        <f t="shared" si="0"/>
        <v>307</v>
      </c>
    </row>
    <row r="12" spans="1:8" s="15" customFormat="1" x14ac:dyDescent="0.25">
      <c r="A12" s="87"/>
      <c r="B12" s="17"/>
      <c r="C12" s="17"/>
      <c r="D12" s="17"/>
      <c r="E12" s="12" t="s">
        <v>18</v>
      </c>
      <c r="F12" s="24"/>
      <c r="G12" s="23">
        <v>100</v>
      </c>
      <c r="H12" s="47">
        <f t="shared" si="0"/>
        <v>207</v>
      </c>
    </row>
    <row r="13" spans="1:8" s="15" customFormat="1" x14ac:dyDescent="0.2">
      <c r="A13" s="85">
        <v>46029</v>
      </c>
      <c r="B13" s="18" t="s">
        <v>59</v>
      </c>
      <c r="C13" s="17" t="s">
        <v>25</v>
      </c>
      <c r="D13" s="17" t="s">
        <v>15</v>
      </c>
      <c r="E13" s="12" t="s">
        <v>28</v>
      </c>
      <c r="F13" s="24">
        <v>3000</v>
      </c>
      <c r="G13" s="23">
        <v>220</v>
      </c>
      <c r="H13" s="47">
        <f t="shared" si="0"/>
        <v>2987</v>
      </c>
    </row>
    <row r="14" spans="1:8" s="15" customFormat="1" x14ac:dyDescent="0.25">
      <c r="A14" s="86"/>
      <c r="B14" s="17"/>
      <c r="C14" s="17"/>
      <c r="D14" s="17"/>
      <c r="E14" s="12" t="s">
        <v>29</v>
      </c>
      <c r="F14" s="24"/>
      <c r="G14" s="23">
        <v>550</v>
      </c>
      <c r="H14" s="47">
        <f t="shared" si="0"/>
        <v>2437</v>
      </c>
    </row>
    <row r="15" spans="1:8" s="15" customFormat="1" x14ac:dyDescent="0.25">
      <c r="A15" s="87"/>
      <c r="B15" s="17"/>
      <c r="C15" s="17"/>
      <c r="D15" s="17"/>
      <c r="E15" s="12" t="s">
        <v>30</v>
      </c>
      <c r="F15" s="24"/>
      <c r="G15" s="23">
        <v>274</v>
      </c>
      <c r="H15" s="47">
        <f t="shared" si="0"/>
        <v>2163</v>
      </c>
    </row>
    <row r="16" spans="1:8" s="15" customFormat="1" x14ac:dyDescent="0.25">
      <c r="A16" s="85">
        <v>46030</v>
      </c>
      <c r="B16" s="17"/>
      <c r="C16" s="17"/>
      <c r="D16" s="17"/>
      <c r="E16" s="12" t="s">
        <v>31</v>
      </c>
      <c r="F16" s="24"/>
      <c r="G16" s="23">
        <v>400</v>
      </c>
      <c r="H16" s="47">
        <f t="shared" si="0"/>
        <v>1763</v>
      </c>
    </row>
    <row r="17" spans="1:8" s="15" customFormat="1" x14ac:dyDescent="0.25">
      <c r="A17" s="86"/>
      <c r="B17" s="17"/>
      <c r="C17" s="17"/>
      <c r="D17" s="17"/>
      <c r="E17" s="12" t="s">
        <v>32</v>
      </c>
      <c r="F17" s="24"/>
      <c r="G17" s="23">
        <v>250</v>
      </c>
      <c r="H17" s="47">
        <f t="shared" si="0"/>
        <v>1513</v>
      </c>
    </row>
    <row r="18" spans="1:8" s="15" customFormat="1" x14ac:dyDescent="0.25">
      <c r="A18" s="86"/>
      <c r="B18" s="17"/>
      <c r="C18" s="17"/>
      <c r="D18" s="17"/>
      <c r="E18" s="12" t="s">
        <v>33</v>
      </c>
      <c r="F18" s="24"/>
      <c r="G18" s="23">
        <v>150</v>
      </c>
      <c r="H18" s="47">
        <f t="shared" si="0"/>
        <v>1363</v>
      </c>
    </row>
    <row r="19" spans="1:8" s="15" customFormat="1" x14ac:dyDescent="0.25">
      <c r="A19" s="86"/>
      <c r="B19" s="17"/>
      <c r="C19" s="17"/>
      <c r="D19" s="17"/>
      <c r="E19" s="12" t="s">
        <v>34</v>
      </c>
      <c r="F19" s="24"/>
      <c r="G19" s="23">
        <v>300</v>
      </c>
      <c r="H19" s="47">
        <f t="shared" si="0"/>
        <v>1063</v>
      </c>
    </row>
    <row r="20" spans="1:8" s="15" customFormat="1" x14ac:dyDescent="0.25">
      <c r="A20" s="86"/>
      <c r="B20" s="17"/>
      <c r="C20" s="17"/>
      <c r="D20" s="17"/>
      <c r="E20" s="12" t="s">
        <v>35</v>
      </c>
      <c r="F20" s="24"/>
      <c r="G20" s="23">
        <v>106</v>
      </c>
      <c r="H20" s="47">
        <f t="shared" si="0"/>
        <v>957</v>
      </c>
    </row>
    <row r="21" spans="1:8" s="15" customFormat="1" x14ac:dyDescent="0.25">
      <c r="A21" s="86"/>
      <c r="B21" s="17"/>
      <c r="C21" s="17"/>
      <c r="D21" s="17"/>
      <c r="E21" s="12" t="s">
        <v>36</v>
      </c>
      <c r="F21" s="24"/>
      <c r="G21" s="23">
        <v>84</v>
      </c>
      <c r="H21" s="47">
        <f t="shared" si="0"/>
        <v>873</v>
      </c>
    </row>
    <row r="22" spans="1:8" s="15" customFormat="1" x14ac:dyDescent="0.25">
      <c r="A22" s="87"/>
      <c r="B22" s="17"/>
      <c r="C22" s="17"/>
      <c r="D22" s="17"/>
      <c r="E22" s="12" t="s">
        <v>37</v>
      </c>
      <c r="F22" s="24"/>
      <c r="G22" s="23">
        <v>500</v>
      </c>
      <c r="H22" s="47">
        <f t="shared" si="0"/>
        <v>373</v>
      </c>
    </row>
    <row r="23" spans="1:8" s="15" customFormat="1" x14ac:dyDescent="0.25">
      <c r="A23" s="85">
        <v>46031</v>
      </c>
      <c r="B23" s="17"/>
      <c r="C23" s="17" t="s">
        <v>20</v>
      </c>
      <c r="D23" s="17"/>
      <c r="E23" s="12" t="s">
        <v>21</v>
      </c>
      <c r="F23" s="24"/>
      <c r="G23" s="23">
        <v>64</v>
      </c>
      <c r="H23" s="47">
        <f t="shared" si="0"/>
        <v>309</v>
      </c>
    </row>
    <row r="24" spans="1:8" s="15" customFormat="1" x14ac:dyDescent="0.2">
      <c r="A24" s="86"/>
      <c r="B24" s="18" t="s">
        <v>59</v>
      </c>
      <c r="C24" s="17" t="s">
        <v>25</v>
      </c>
      <c r="D24" s="17" t="s">
        <v>27</v>
      </c>
      <c r="E24" s="12" t="s">
        <v>22</v>
      </c>
      <c r="F24" s="24">
        <v>4000</v>
      </c>
      <c r="G24" s="23">
        <v>117</v>
      </c>
      <c r="H24" s="47">
        <f t="shared" si="0"/>
        <v>4192</v>
      </c>
    </row>
    <row r="25" spans="1:8" s="15" customFormat="1" x14ac:dyDescent="0.25">
      <c r="A25" s="87"/>
      <c r="B25" s="17"/>
      <c r="C25" s="17"/>
      <c r="D25" s="17"/>
      <c r="E25" s="12" t="s">
        <v>38</v>
      </c>
      <c r="F25" s="24"/>
      <c r="G25" s="23">
        <v>20</v>
      </c>
      <c r="H25" s="47">
        <f t="shared" si="0"/>
        <v>4172</v>
      </c>
    </row>
    <row r="26" spans="1:8" s="15" customFormat="1" x14ac:dyDescent="0.25">
      <c r="A26" s="85">
        <v>46032</v>
      </c>
      <c r="B26" s="17"/>
      <c r="C26" s="17"/>
      <c r="D26" s="17"/>
      <c r="E26" s="12" t="s">
        <v>39</v>
      </c>
      <c r="F26" s="24"/>
      <c r="G26" s="23">
        <v>390</v>
      </c>
      <c r="H26" s="47">
        <f t="shared" si="0"/>
        <v>3782</v>
      </c>
    </row>
    <row r="27" spans="1:8" s="15" customFormat="1" x14ac:dyDescent="0.25">
      <c r="A27" s="87"/>
      <c r="B27" s="17"/>
      <c r="C27" s="17"/>
      <c r="D27" s="17"/>
      <c r="E27" s="12" t="s">
        <v>40</v>
      </c>
      <c r="F27" s="24"/>
      <c r="G27" s="23">
        <v>280</v>
      </c>
      <c r="H27" s="47">
        <f t="shared" si="0"/>
        <v>3502</v>
      </c>
    </row>
    <row r="28" spans="1:8" s="15" customFormat="1" x14ac:dyDescent="0.25">
      <c r="A28" s="44">
        <v>46033</v>
      </c>
      <c r="B28" s="17"/>
      <c r="C28" s="17"/>
      <c r="D28" s="17"/>
      <c r="E28" s="12" t="s">
        <v>41</v>
      </c>
      <c r="F28" s="24"/>
      <c r="G28" s="23">
        <v>380</v>
      </c>
      <c r="H28" s="47">
        <f t="shared" si="0"/>
        <v>3122</v>
      </c>
    </row>
    <row r="29" spans="1:8" s="15" customFormat="1" x14ac:dyDescent="0.25">
      <c r="A29" s="85">
        <v>46035</v>
      </c>
      <c r="B29" s="17"/>
      <c r="C29" s="17"/>
      <c r="D29" s="17"/>
      <c r="E29" s="12" t="s">
        <v>42</v>
      </c>
      <c r="F29" s="24"/>
      <c r="G29" s="23">
        <v>516</v>
      </c>
      <c r="H29" s="47">
        <f t="shared" si="0"/>
        <v>2606</v>
      </c>
    </row>
    <row r="30" spans="1:8" s="15" customFormat="1" x14ac:dyDescent="0.25">
      <c r="A30" s="86"/>
      <c r="B30" s="17"/>
      <c r="C30" s="17"/>
      <c r="D30" s="17"/>
      <c r="E30" s="12" t="s">
        <v>43</v>
      </c>
      <c r="F30" s="24"/>
      <c r="G30" s="23">
        <v>117</v>
      </c>
      <c r="H30" s="47">
        <f t="shared" si="0"/>
        <v>2489</v>
      </c>
    </row>
    <row r="31" spans="1:8" s="15" customFormat="1" x14ac:dyDescent="0.2">
      <c r="A31" s="86"/>
      <c r="B31" s="18" t="s">
        <v>59</v>
      </c>
      <c r="C31" s="17" t="s">
        <v>25</v>
      </c>
      <c r="D31" s="17" t="s">
        <v>26</v>
      </c>
      <c r="E31" s="12" t="s">
        <v>23</v>
      </c>
      <c r="F31" s="24">
        <v>5000</v>
      </c>
      <c r="G31" s="23">
        <v>40</v>
      </c>
      <c r="H31" s="47">
        <f t="shared" si="0"/>
        <v>7449</v>
      </c>
    </row>
    <row r="32" spans="1:8" s="15" customFormat="1" x14ac:dyDescent="0.25">
      <c r="A32" s="86"/>
      <c r="B32" s="17"/>
      <c r="C32" s="17"/>
      <c r="D32" s="17"/>
      <c r="E32" s="12" t="s">
        <v>18</v>
      </c>
      <c r="F32" s="24"/>
      <c r="G32" s="23">
        <v>30</v>
      </c>
      <c r="H32" s="47">
        <f t="shared" si="0"/>
        <v>7419</v>
      </c>
    </row>
    <row r="33" spans="1:8" s="15" customFormat="1" x14ac:dyDescent="0.25">
      <c r="A33" s="86"/>
      <c r="B33" s="17"/>
      <c r="C33" s="17"/>
      <c r="D33" s="17"/>
      <c r="E33" s="12" t="s">
        <v>24</v>
      </c>
      <c r="F33" s="24"/>
      <c r="G33" s="23">
        <v>329</v>
      </c>
      <c r="H33" s="47">
        <f t="shared" si="0"/>
        <v>7090</v>
      </c>
    </row>
    <row r="34" spans="1:8" s="15" customFormat="1" x14ac:dyDescent="0.25">
      <c r="A34" s="86"/>
      <c r="B34" s="17"/>
      <c r="C34" s="17"/>
      <c r="D34" s="17"/>
      <c r="E34" s="12" t="s">
        <v>23</v>
      </c>
      <c r="F34" s="24"/>
      <c r="G34" s="23">
        <v>40</v>
      </c>
      <c r="H34" s="47">
        <f t="shared" si="0"/>
        <v>7050</v>
      </c>
    </row>
    <row r="35" spans="1:8" s="15" customFormat="1" x14ac:dyDescent="0.25">
      <c r="A35" s="86"/>
      <c r="B35" s="17"/>
      <c r="C35" s="17"/>
      <c r="D35" s="17"/>
      <c r="E35" s="12" t="s">
        <v>44</v>
      </c>
      <c r="F35" s="24"/>
      <c r="G35" s="23">
        <v>122</v>
      </c>
      <c r="H35" s="47">
        <f t="shared" si="0"/>
        <v>6928</v>
      </c>
    </row>
    <row r="36" spans="1:8" s="15" customFormat="1" x14ac:dyDescent="0.25">
      <c r="A36" s="86"/>
      <c r="B36" s="17"/>
      <c r="C36" s="17"/>
      <c r="D36" s="17"/>
      <c r="E36" s="12" t="s">
        <v>45</v>
      </c>
      <c r="F36" s="24"/>
      <c r="G36" s="23">
        <v>105</v>
      </c>
      <c r="H36" s="47">
        <f t="shared" si="0"/>
        <v>6823</v>
      </c>
    </row>
    <row r="37" spans="1:8" s="15" customFormat="1" x14ac:dyDescent="0.25">
      <c r="A37" s="86"/>
      <c r="B37" s="17"/>
      <c r="C37" s="17"/>
      <c r="D37" s="17"/>
      <c r="E37" s="30" t="s">
        <v>52</v>
      </c>
      <c r="F37" s="31"/>
      <c r="G37" s="32">
        <v>168</v>
      </c>
      <c r="H37" s="47">
        <f t="shared" si="0"/>
        <v>6655</v>
      </c>
    </row>
    <row r="38" spans="1:8" s="15" customFormat="1" x14ac:dyDescent="0.25">
      <c r="A38" s="86"/>
      <c r="B38" s="17"/>
      <c r="C38" s="17"/>
      <c r="D38" s="17"/>
      <c r="E38" s="12" t="s">
        <v>46</v>
      </c>
      <c r="F38" s="24"/>
      <c r="G38" s="23">
        <v>282</v>
      </c>
      <c r="H38" s="47">
        <f t="shared" si="0"/>
        <v>6373</v>
      </c>
    </row>
    <row r="39" spans="1:8" s="15" customFormat="1" x14ac:dyDescent="0.25">
      <c r="A39" s="85">
        <v>46036</v>
      </c>
      <c r="B39" s="17"/>
      <c r="C39" s="17"/>
      <c r="D39" s="17"/>
      <c r="E39" s="12" t="s">
        <v>47</v>
      </c>
      <c r="F39" s="24"/>
      <c r="G39" s="23">
        <v>260</v>
      </c>
      <c r="H39" s="47">
        <f t="shared" si="0"/>
        <v>6113</v>
      </c>
    </row>
    <row r="40" spans="1:8" x14ac:dyDescent="0.2">
      <c r="A40" s="86"/>
      <c r="B40" s="25"/>
      <c r="C40" s="11"/>
      <c r="D40" s="11"/>
      <c r="E40" s="12" t="s">
        <v>40</v>
      </c>
      <c r="F40" s="24"/>
      <c r="G40" s="23">
        <v>300</v>
      </c>
      <c r="H40" s="47">
        <f t="shared" si="0"/>
        <v>5813</v>
      </c>
    </row>
    <row r="41" spans="1:8" x14ac:dyDescent="0.2">
      <c r="A41" s="86"/>
      <c r="B41" s="18"/>
      <c r="C41" s="17"/>
      <c r="D41" s="17"/>
      <c r="E41" s="12" t="s">
        <v>48</v>
      </c>
      <c r="F41" s="24">
        <v>0</v>
      </c>
      <c r="G41" s="23">
        <v>577</v>
      </c>
      <c r="H41" s="47">
        <f t="shared" si="0"/>
        <v>5236</v>
      </c>
    </row>
    <row r="42" spans="1:8" x14ac:dyDescent="0.2">
      <c r="A42" s="86"/>
      <c r="B42" s="25"/>
      <c r="C42" s="11"/>
      <c r="D42" s="11"/>
      <c r="E42" s="11" t="s">
        <v>49</v>
      </c>
      <c r="F42" s="24"/>
      <c r="G42" s="23">
        <v>650</v>
      </c>
      <c r="H42" s="47">
        <f t="shared" si="0"/>
        <v>4586</v>
      </c>
    </row>
    <row r="43" spans="1:8" x14ac:dyDescent="0.2">
      <c r="A43" s="86"/>
      <c r="B43" s="25"/>
      <c r="C43" s="11"/>
      <c r="D43" s="11"/>
      <c r="E43" s="12" t="s">
        <v>50</v>
      </c>
      <c r="F43" s="24"/>
      <c r="G43" s="23">
        <v>71</v>
      </c>
      <c r="H43" s="47">
        <f t="shared" si="0"/>
        <v>4515</v>
      </c>
    </row>
    <row r="44" spans="1:8" x14ac:dyDescent="0.2">
      <c r="A44" s="86"/>
      <c r="B44" s="25"/>
      <c r="C44" s="11"/>
      <c r="D44" s="11"/>
      <c r="E44" s="11" t="s">
        <v>51</v>
      </c>
      <c r="F44" s="24">
        <v>0</v>
      </c>
      <c r="G44" s="23">
        <v>550</v>
      </c>
      <c r="H44" s="47">
        <f t="shared" si="0"/>
        <v>3965</v>
      </c>
    </row>
    <row r="45" spans="1:8" x14ac:dyDescent="0.2">
      <c r="A45" s="86"/>
      <c r="B45" s="18"/>
      <c r="C45" s="18"/>
      <c r="D45" s="18"/>
      <c r="E45" s="12" t="s">
        <v>23</v>
      </c>
      <c r="F45" s="24"/>
      <c r="G45" s="23">
        <v>40</v>
      </c>
      <c r="H45" s="47">
        <f t="shared" si="0"/>
        <v>3925</v>
      </c>
    </row>
    <row r="46" spans="1:8" x14ac:dyDescent="0.2">
      <c r="A46" s="86"/>
      <c r="B46" s="17"/>
      <c r="C46" s="11"/>
      <c r="D46" s="11"/>
      <c r="E46" s="11" t="s">
        <v>53</v>
      </c>
      <c r="F46" s="24">
        <v>0</v>
      </c>
      <c r="G46" s="23">
        <v>107</v>
      </c>
      <c r="H46" s="47">
        <f t="shared" si="0"/>
        <v>3818</v>
      </c>
    </row>
    <row r="47" spans="1:8" x14ac:dyDescent="0.2">
      <c r="A47" s="87"/>
      <c r="B47" s="17"/>
      <c r="C47" s="11"/>
      <c r="D47" s="11"/>
      <c r="E47" s="11" t="s">
        <v>54</v>
      </c>
      <c r="F47" s="24">
        <v>0</v>
      </c>
      <c r="G47" s="33">
        <v>2660</v>
      </c>
      <c r="H47" s="47">
        <f t="shared" si="0"/>
        <v>1158</v>
      </c>
    </row>
    <row r="48" spans="1:8" x14ac:dyDescent="0.2">
      <c r="A48" s="85">
        <v>46037</v>
      </c>
      <c r="B48" s="18"/>
      <c r="C48" s="18"/>
      <c r="D48" s="18"/>
      <c r="E48" s="11" t="s">
        <v>55</v>
      </c>
      <c r="F48" s="24">
        <v>0</v>
      </c>
      <c r="G48" s="23">
        <v>410</v>
      </c>
      <c r="H48" s="47">
        <f t="shared" si="0"/>
        <v>748</v>
      </c>
    </row>
    <row r="49" spans="1:8" x14ac:dyDescent="0.2">
      <c r="A49" s="86"/>
      <c r="B49" s="18"/>
      <c r="C49" s="18"/>
      <c r="D49" s="18"/>
      <c r="E49" s="11" t="s">
        <v>56</v>
      </c>
      <c r="F49" s="24">
        <v>0</v>
      </c>
      <c r="G49" s="23">
        <v>350</v>
      </c>
      <c r="H49" s="47">
        <f t="shared" si="0"/>
        <v>398</v>
      </c>
    </row>
    <row r="50" spans="1:8" x14ac:dyDescent="0.2">
      <c r="A50" s="86"/>
      <c r="B50" s="17"/>
      <c r="C50" s="18"/>
      <c r="D50" s="18"/>
      <c r="E50" s="11" t="s">
        <v>57</v>
      </c>
      <c r="F50" s="24">
        <v>0</v>
      </c>
      <c r="G50" s="23">
        <v>200</v>
      </c>
      <c r="H50" s="47">
        <f t="shared" si="0"/>
        <v>198</v>
      </c>
    </row>
    <row r="51" spans="1:8" x14ac:dyDescent="0.2">
      <c r="A51" s="87"/>
      <c r="B51" s="18"/>
      <c r="C51" s="18"/>
      <c r="D51" s="18"/>
      <c r="E51" s="12" t="s">
        <v>23</v>
      </c>
      <c r="F51" s="24"/>
      <c r="G51" s="23">
        <v>40</v>
      </c>
      <c r="H51" s="47">
        <f t="shared" si="0"/>
        <v>158</v>
      </c>
    </row>
    <row r="52" spans="1:8" x14ac:dyDescent="0.2">
      <c r="A52" s="85">
        <v>46038</v>
      </c>
      <c r="B52" s="18" t="s">
        <v>59</v>
      </c>
      <c r="C52" s="18" t="s">
        <v>25</v>
      </c>
      <c r="D52" s="18" t="s">
        <v>26</v>
      </c>
      <c r="E52" s="11" t="s">
        <v>58</v>
      </c>
      <c r="F52" s="24">
        <v>5000</v>
      </c>
      <c r="G52" s="23">
        <v>85</v>
      </c>
      <c r="H52" s="47">
        <f t="shared" si="0"/>
        <v>5073</v>
      </c>
    </row>
    <row r="53" spans="1:8" x14ac:dyDescent="0.2">
      <c r="A53" s="86"/>
      <c r="B53" s="18"/>
      <c r="C53" s="18"/>
      <c r="D53" s="18"/>
      <c r="E53" s="11" t="s">
        <v>61</v>
      </c>
      <c r="F53" s="24"/>
      <c r="G53" s="23">
        <v>290</v>
      </c>
      <c r="H53" s="47">
        <f t="shared" si="0"/>
        <v>4783</v>
      </c>
    </row>
    <row r="54" spans="1:8" x14ac:dyDescent="0.2">
      <c r="A54" s="87"/>
      <c r="B54" s="18"/>
      <c r="C54" s="18"/>
      <c r="D54" s="18"/>
      <c r="E54" s="11" t="s">
        <v>62</v>
      </c>
      <c r="F54" s="24"/>
      <c r="G54" s="23">
        <v>100</v>
      </c>
      <c r="H54" s="47">
        <f t="shared" si="0"/>
        <v>4683</v>
      </c>
    </row>
    <row r="55" spans="1:8" x14ac:dyDescent="0.2">
      <c r="A55" s="44">
        <v>46039</v>
      </c>
      <c r="B55" s="18"/>
      <c r="C55" s="17"/>
      <c r="D55" s="17"/>
      <c r="E55" s="11" t="s">
        <v>63</v>
      </c>
      <c r="F55" s="24">
        <v>0</v>
      </c>
      <c r="G55" s="23">
        <v>200</v>
      </c>
      <c r="H55" s="47">
        <f t="shared" si="0"/>
        <v>4483</v>
      </c>
    </row>
    <row r="56" spans="1:8" x14ac:dyDescent="0.2">
      <c r="A56" s="85">
        <v>46040</v>
      </c>
      <c r="B56" s="18"/>
      <c r="C56" s="18"/>
      <c r="D56" s="18"/>
      <c r="E56" s="12" t="s">
        <v>65</v>
      </c>
      <c r="F56" s="24"/>
      <c r="G56" s="23">
        <v>447</v>
      </c>
      <c r="H56" s="47">
        <f t="shared" si="0"/>
        <v>4036</v>
      </c>
    </row>
    <row r="57" spans="1:8" x14ac:dyDescent="0.2">
      <c r="A57" s="87"/>
      <c r="B57" s="18"/>
      <c r="C57" s="18"/>
      <c r="D57" s="18"/>
      <c r="E57" s="12" t="s">
        <v>64</v>
      </c>
      <c r="F57" s="24"/>
      <c r="G57" s="23">
        <v>576</v>
      </c>
      <c r="H57" s="47">
        <f t="shared" si="0"/>
        <v>3460</v>
      </c>
    </row>
    <row r="58" spans="1:8" x14ac:dyDescent="0.2">
      <c r="A58" s="44">
        <v>46041</v>
      </c>
      <c r="B58" s="18"/>
      <c r="C58" s="18"/>
      <c r="D58" s="18"/>
      <c r="E58" s="11" t="s">
        <v>66</v>
      </c>
      <c r="F58" s="24"/>
      <c r="G58" s="23">
        <v>380</v>
      </c>
      <c r="H58" s="47">
        <f t="shared" si="0"/>
        <v>3080</v>
      </c>
    </row>
    <row r="59" spans="1:8" x14ac:dyDescent="0.2">
      <c r="A59" s="85">
        <v>46042</v>
      </c>
      <c r="B59" s="18"/>
      <c r="C59" s="18"/>
      <c r="D59" s="18"/>
      <c r="E59" s="11" t="s">
        <v>67</v>
      </c>
      <c r="F59" s="24">
        <v>0</v>
      </c>
      <c r="G59" s="23">
        <v>600</v>
      </c>
      <c r="H59" s="47">
        <f t="shared" si="0"/>
        <v>2480</v>
      </c>
    </row>
    <row r="60" spans="1:8" x14ac:dyDescent="0.2">
      <c r="A60" s="86"/>
      <c r="B60" s="18"/>
      <c r="C60" s="18"/>
      <c r="D60" s="18"/>
      <c r="E60" s="11" t="s">
        <v>68</v>
      </c>
      <c r="F60" s="24">
        <v>0</v>
      </c>
      <c r="G60" s="23">
        <v>600</v>
      </c>
      <c r="H60" s="47">
        <f t="shared" si="0"/>
        <v>1880</v>
      </c>
    </row>
    <row r="61" spans="1:8" x14ac:dyDescent="0.2">
      <c r="A61" s="86"/>
      <c r="B61" s="10"/>
      <c r="C61" s="10"/>
      <c r="D61" s="10"/>
      <c r="E61" s="12" t="s">
        <v>69</v>
      </c>
      <c r="F61" s="24">
        <v>0</v>
      </c>
      <c r="G61" s="23">
        <v>300</v>
      </c>
      <c r="H61" s="47">
        <f t="shared" si="0"/>
        <v>1580</v>
      </c>
    </row>
    <row r="62" spans="1:8" x14ac:dyDescent="0.2">
      <c r="A62" s="86"/>
      <c r="B62" s="10"/>
      <c r="C62" s="10"/>
      <c r="D62" s="10"/>
      <c r="E62" s="11" t="s">
        <v>70</v>
      </c>
      <c r="F62" s="24">
        <v>0</v>
      </c>
      <c r="G62" s="23">
        <v>170</v>
      </c>
      <c r="H62" s="47">
        <f t="shared" si="0"/>
        <v>1410</v>
      </c>
    </row>
    <row r="63" spans="1:8" x14ac:dyDescent="0.2">
      <c r="A63" s="86"/>
      <c r="B63" s="10"/>
      <c r="C63" s="10"/>
      <c r="D63" s="10"/>
      <c r="E63" s="11" t="s">
        <v>71</v>
      </c>
      <c r="F63" s="24"/>
      <c r="G63" s="23">
        <v>141</v>
      </c>
      <c r="H63" s="47">
        <f t="shared" si="0"/>
        <v>1269</v>
      </c>
    </row>
    <row r="64" spans="1:8" x14ac:dyDescent="0.2">
      <c r="A64" s="86"/>
      <c r="B64" s="10" t="s">
        <v>72</v>
      </c>
      <c r="C64" s="10" t="s">
        <v>20</v>
      </c>
      <c r="D64" s="10" t="s">
        <v>73</v>
      </c>
      <c r="E64" s="11" t="s">
        <v>71</v>
      </c>
      <c r="F64" s="24">
        <v>141</v>
      </c>
      <c r="G64" s="23">
        <v>141</v>
      </c>
      <c r="H64" s="47">
        <f t="shared" si="0"/>
        <v>1269</v>
      </c>
    </row>
    <row r="65" spans="1:9" x14ac:dyDescent="0.2">
      <c r="A65" s="86"/>
      <c r="B65" s="10"/>
      <c r="C65" s="10"/>
      <c r="D65" s="10"/>
      <c r="E65" s="11" t="s">
        <v>74</v>
      </c>
      <c r="F65" s="24"/>
      <c r="G65" s="23">
        <v>190</v>
      </c>
      <c r="H65" s="47">
        <f t="shared" si="0"/>
        <v>1079</v>
      </c>
    </row>
    <row r="66" spans="1:9" x14ac:dyDescent="0.2">
      <c r="A66" s="87"/>
      <c r="B66" s="18"/>
      <c r="C66" s="18"/>
      <c r="D66" s="18"/>
      <c r="E66" s="11" t="s">
        <v>75</v>
      </c>
      <c r="F66" s="24">
        <v>0</v>
      </c>
      <c r="G66" s="23">
        <v>800</v>
      </c>
      <c r="H66" s="47">
        <f t="shared" si="0"/>
        <v>279</v>
      </c>
    </row>
    <row r="67" spans="1:9" x14ac:dyDescent="0.2">
      <c r="A67" s="85">
        <v>46043</v>
      </c>
      <c r="B67" s="18" t="s">
        <v>60</v>
      </c>
      <c r="C67" s="18" t="s">
        <v>25</v>
      </c>
      <c r="D67" s="18" t="s">
        <v>27</v>
      </c>
      <c r="E67" s="11" t="s">
        <v>76</v>
      </c>
      <c r="F67" s="24">
        <v>10000</v>
      </c>
      <c r="G67" s="23">
        <v>148</v>
      </c>
      <c r="H67" s="47">
        <f t="shared" si="0"/>
        <v>10131</v>
      </c>
    </row>
    <row r="68" spans="1:9" x14ac:dyDescent="0.2">
      <c r="A68" s="86"/>
      <c r="B68" s="18"/>
      <c r="C68" s="18"/>
      <c r="D68" s="18"/>
      <c r="E68" s="11" t="s">
        <v>77</v>
      </c>
      <c r="F68" s="24">
        <v>0</v>
      </c>
      <c r="G68" s="23">
        <v>350</v>
      </c>
      <c r="H68" s="47">
        <f t="shared" si="0"/>
        <v>9781</v>
      </c>
    </row>
    <row r="69" spans="1:9" x14ac:dyDescent="0.2">
      <c r="A69" s="86"/>
      <c r="B69" s="18"/>
      <c r="C69" s="18"/>
      <c r="D69" s="18"/>
      <c r="E69" s="11" t="s">
        <v>78</v>
      </c>
      <c r="F69" s="24"/>
      <c r="G69" s="23">
        <v>600</v>
      </c>
      <c r="H69" s="47">
        <f t="shared" si="0"/>
        <v>9181</v>
      </c>
    </row>
    <row r="70" spans="1:9" x14ac:dyDescent="0.2">
      <c r="A70" s="86"/>
      <c r="B70" s="18"/>
      <c r="C70" s="18"/>
      <c r="D70" s="18"/>
      <c r="E70" s="11" t="s">
        <v>78</v>
      </c>
      <c r="F70" s="24"/>
      <c r="G70" s="23">
        <v>190</v>
      </c>
      <c r="H70" s="47">
        <f t="shared" si="0"/>
        <v>8991</v>
      </c>
    </row>
    <row r="71" spans="1:9" x14ac:dyDescent="0.2">
      <c r="A71" s="87"/>
      <c r="B71" s="18"/>
      <c r="C71" s="18"/>
      <c r="D71" s="18"/>
      <c r="E71" s="11" t="s">
        <v>78</v>
      </c>
      <c r="F71" s="24"/>
      <c r="G71" s="23">
        <v>650</v>
      </c>
      <c r="H71" s="47">
        <f t="shared" si="0"/>
        <v>8341</v>
      </c>
    </row>
    <row r="72" spans="1:9" x14ac:dyDescent="0.2">
      <c r="A72" s="85">
        <v>46044</v>
      </c>
      <c r="B72" s="18"/>
      <c r="C72" s="18"/>
      <c r="D72" s="18"/>
      <c r="E72" s="11" t="s">
        <v>79</v>
      </c>
      <c r="F72" s="24"/>
      <c r="G72" s="23">
        <v>400</v>
      </c>
      <c r="H72" s="47">
        <f t="shared" si="0"/>
        <v>7941</v>
      </c>
    </row>
    <row r="73" spans="1:9" x14ac:dyDescent="0.2">
      <c r="A73" s="86"/>
      <c r="B73" s="18"/>
      <c r="C73" s="18"/>
      <c r="D73" s="18"/>
      <c r="E73" s="11" t="s">
        <v>80</v>
      </c>
      <c r="F73" s="24"/>
      <c r="G73" s="23">
        <v>40</v>
      </c>
      <c r="H73" s="47">
        <f t="shared" si="0"/>
        <v>7901</v>
      </c>
    </row>
    <row r="74" spans="1:9" x14ac:dyDescent="0.2">
      <c r="A74" s="86"/>
      <c r="B74" s="18"/>
      <c r="C74" s="18"/>
      <c r="D74" s="18"/>
      <c r="E74" s="11" t="s">
        <v>81</v>
      </c>
      <c r="F74" s="24"/>
      <c r="G74" s="23">
        <v>62</v>
      </c>
      <c r="H74" s="47">
        <f t="shared" si="0"/>
        <v>7839</v>
      </c>
    </row>
    <row r="75" spans="1:9" x14ac:dyDescent="0.2">
      <c r="A75" s="86"/>
      <c r="B75" s="18"/>
      <c r="C75" s="18"/>
      <c r="D75" s="18"/>
      <c r="E75" s="11" t="s">
        <v>82</v>
      </c>
      <c r="F75" s="24"/>
      <c r="G75" s="23">
        <v>2500</v>
      </c>
      <c r="H75" s="47">
        <f t="shared" si="0"/>
        <v>5339</v>
      </c>
    </row>
    <row r="76" spans="1:9" x14ac:dyDescent="0.2">
      <c r="A76" s="87"/>
      <c r="B76" s="18"/>
      <c r="C76" s="18"/>
      <c r="D76" s="18"/>
      <c r="E76" s="34" t="s">
        <v>83</v>
      </c>
      <c r="F76" s="24"/>
      <c r="G76" s="23">
        <v>500</v>
      </c>
      <c r="H76" s="47">
        <f t="shared" si="0"/>
        <v>4839</v>
      </c>
    </row>
    <row r="77" spans="1:9" ht="15.75" x14ac:dyDescent="0.2">
      <c r="A77" s="85">
        <v>46045</v>
      </c>
      <c r="B77" s="18"/>
      <c r="C77" s="18"/>
      <c r="D77" s="18"/>
      <c r="E77" s="11" t="s">
        <v>84</v>
      </c>
      <c r="F77" s="26"/>
      <c r="G77" s="23">
        <v>2400</v>
      </c>
      <c r="H77" s="47">
        <f t="shared" si="0"/>
        <v>2439</v>
      </c>
      <c r="I77" s="84" t="s">
        <v>9</v>
      </c>
    </row>
    <row r="78" spans="1:9" ht="15.75" x14ac:dyDescent="0.2">
      <c r="A78" s="86"/>
      <c r="B78" s="18"/>
      <c r="C78" s="18"/>
      <c r="D78" s="18"/>
      <c r="E78" s="11" t="s">
        <v>86</v>
      </c>
      <c r="F78" s="26">
        <v>0</v>
      </c>
      <c r="G78" s="23">
        <v>125</v>
      </c>
      <c r="H78" s="47">
        <f t="shared" si="0"/>
        <v>2314</v>
      </c>
      <c r="I78" s="84"/>
    </row>
    <row r="79" spans="1:9" x14ac:dyDescent="0.2">
      <c r="A79" s="86"/>
      <c r="B79" s="18"/>
      <c r="C79" s="18"/>
      <c r="D79" s="18"/>
      <c r="E79" s="11" t="s">
        <v>87</v>
      </c>
      <c r="F79" s="24">
        <v>0</v>
      </c>
      <c r="G79" s="23">
        <v>510</v>
      </c>
      <c r="H79" s="47">
        <f t="shared" si="0"/>
        <v>1804</v>
      </c>
    </row>
    <row r="80" spans="1:9" x14ac:dyDescent="0.2">
      <c r="A80" s="87"/>
      <c r="B80" s="18"/>
      <c r="C80" s="18"/>
      <c r="D80" s="18"/>
      <c r="E80" s="11" t="s">
        <v>88</v>
      </c>
      <c r="F80" s="24"/>
      <c r="G80" s="23">
        <v>400</v>
      </c>
      <c r="H80" s="47">
        <f t="shared" si="0"/>
        <v>1404</v>
      </c>
    </row>
    <row r="81" spans="1:8" x14ac:dyDescent="0.2">
      <c r="A81" s="85">
        <v>46046</v>
      </c>
      <c r="B81" s="18" t="s">
        <v>60</v>
      </c>
      <c r="C81" s="18" t="s">
        <v>25</v>
      </c>
      <c r="D81" s="18" t="s">
        <v>27</v>
      </c>
      <c r="E81" s="11" t="s">
        <v>85</v>
      </c>
      <c r="F81" s="24">
        <v>5000</v>
      </c>
      <c r="G81" s="23">
        <v>350</v>
      </c>
      <c r="H81" s="47">
        <f t="shared" si="0"/>
        <v>6054</v>
      </c>
    </row>
    <row r="82" spans="1:8" x14ac:dyDescent="0.2">
      <c r="A82" s="86"/>
      <c r="B82" s="18"/>
      <c r="C82" s="18"/>
      <c r="D82" s="18"/>
      <c r="E82" s="11" t="s">
        <v>89</v>
      </c>
      <c r="F82" s="24"/>
      <c r="G82" s="23">
        <v>510</v>
      </c>
      <c r="H82" s="47">
        <f t="shared" si="0"/>
        <v>5544</v>
      </c>
    </row>
    <row r="83" spans="1:8" x14ac:dyDescent="0.2">
      <c r="A83" s="86"/>
      <c r="B83" s="18"/>
      <c r="C83" s="18"/>
      <c r="D83" s="18"/>
      <c r="E83" s="11" t="s">
        <v>93</v>
      </c>
      <c r="F83" s="24"/>
      <c r="G83" s="23">
        <v>105</v>
      </c>
      <c r="H83" s="47">
        <f t="shared" si="0"/>
        <v>5439</v>
      </c>
    </row>
    <row r="84" spans="1:8" x14ac:dyDescent="0.2">
      <c r="A84" s="87"/>
      <c r="B84" s="18"/>
      <c r="C84" s="18"/>
      <c r="D84" s="18"/>
      <c r="E84" s="11" t="s">
        <v>90</v>
      </c>
      <c r="F84" s="24"/>
      <c r="G84" s="23">
        <v>80</v>
      </c>
      <c r="H84" s="47">
        <f t="shared" si="0"/>
        <v>5359</v>
      </c>
    </row>
    <row r="85" spans="1:8" x14ac:dyDescent="0.2">
      <c r="A85" s="85">
        <v>46049</v>
      </c>
      <c r="B85" s="18"/>
      <c r="C85" s="18"/>
      <c r="D85" s="18"/>
      <c r="E85" s="11" t="s">
        <v>91</v>
      </c>
      <c r="F85" s="24"/>
      <c r="G85" s="23">
        <v>266</v>
      </c>
      <c r="H85" s="47">
        <f t="shared" si="0"/>
        <v>5093</v>
      </c>
    </row>
    <row r="86" spans="1:8" x14ac:dyDescent="0.2">
      <c r="A86" s="86"/>
      <c r="B86" s="18"/>
      <c r="C86" s="18"/>
      <c r="D86" s="18"/>
      <c r="E86" s="11" t="s">
        <v>92</v>
      </c>
      <c r="F86" s="24"/>
      <c r="G86" s="23">
        <v>263</v>
      </c>
      <c r="H86" s="47">
        <f t="shared" si="0"/>
        <v>4830</v>
      </c>
    </row>
    <row r="87" spans="1:8" x14ac:dyDescent="0.2">
      <c r="A87" s="87"/>
      <c r="B87" s="18"/>
      <c r="C87" s="18"/>
      <c r="D87" s="18"/>
      <c r="E87" s="11" t="s">
        <v>71</v>
      </c>
      <c r="F87" s="24"/>
      <c r="G87" s="23">
        <v>142</v>
      </c>
      <c r="H87" s="47">
        <f t="shared" ref="H87:H93" si="1">H86+F87-G87</f>
        <v>4688</v>
      </c>
    </row>
    <row r="88" spans="1:8" x14ac:dyDescent="0.2">
      <c r="A88" s="85">
        <v>46050</v>
      </c>
      <c r="B88" s="18" t="s">
        <v>98</v>
      </c>
      <c r="C88" s="18" t="s">
        <v>97</v>
      </c>
      <c r="D88" s="18" t="s">
        <v>73</v>
      </c>
      <c r="E88" s="11" t="s">
        <v>94</v>
      </c>
      <c r="F88" s="24">
        <v>105</v>
      </c>
      <c r="G88" s="23">
        <v>510</v>
      </c>
      <c r="H88" s="47">
        <f t="shared" si="1"/>
        <v>4283</v>
      </c>
    </row>
    <row r="89" spans="1:8" x14ac:dyDescent="0.2">
      <c r="A89" s="86"/>
      <c r="B89" s="18"/>
      <c r="C89" s="18"/>
      <c r="D89" s="18"/>
      <c r="E89" s="11" t="s">
        <v>95</v>
      </c>
      <c r="F89" s="24"/>
      <c r="G89" s="23">
        <v>550</v>
      </c>
      <c r="H89" s="47">
        <f t="shared" si="1"/>
        <v>3733</v>
      </c>
    </row>
    <row r="90" spans="1:8" x14ac:dyDescent="0.2">
      <c r="A90" s="86"/>
      <c r="B90" s="18"/>
      <c r="C90" s="18"/>
      <c r="D90" s="18"/>
      <c r="E90" s="11" t="s">
        <v>96</v>
      </c>
      <c r="F90" s="24"/>
      <c r="G90" s="23">
        <v>280</v>
      </c>
      <c r="H90" s="47">
        <f t="shared" si="1"/>
        <v>3453</v>
      </c>
    </row>
    <row r="91" spans="1:8" x14ac:dyDescent="0.2">
      <c r="A91" s="86"/>
      <c r="B91" s="18"/>
      <c r="C91" s="18"/>
      <c r="D91" s="18"/>
      <c r="E91" s="11" t="s">
        <v>100</v>
      </c>
      <c r="F91" s="24">
        <v>0</v>
      </c>
      <c r="G91" s="23">
        <v>1150</v>
      </c>
      <c r="H91" s="47">
        <f t="shared" si="1"/>
        <v>2303</v>
      </c>
    </row>
    <row r="92" spans="1:8" x14ac:dyDescent="0.2">
      <c r="A92" s="87"/>
      <c r="B92" s="18"/>
      <c r="C92" s="18"/>
      <c r="D92" s="18"/>
      <c r="E92" s="11" t="s">
        <v>99</v>
      </c>
      <c r="F92" s="24"/>
      <c r="G92" s="23">
        <v>93</v>
      </c>
      <c r="H92" s="47">
        <f t="shared" si="1"/>
        <v>2210</v>
      </c>
    </row>
    <row r="93" spans="1:8" x14ac:dyDescent="0.2">
      <c r="A93" s="85">
        <v>46051</v>
      </c>
      <c r="B93" s="18"/>
      <c r="C93" s="18"/>
      <c r="D93" s="18"/>
      <c r="E93" s="11" t="s">
        <v>101</v>
      </c>
      <c r="F93" s="24"/>
      <c r="G93" s="23">
        <v>1235</v>
      </c>
      <c r="H93" s="47">
        <f t="shared" si="1"/>
        <v>975</v>
      </c>
    </row>
    <row r="94" spans="1:8" x14ac:dyDescent="0.2">
      <c r="A94" s="86"/>
      <c r="B94" s="18"/>
      <c r="C94" s="18"/>
      <c r="D94" s="18"/>
      <c r="E94" s="11" t="s">
        <v>102</v>
      </c>
      <c r="F94" s="24"/>
      <c r="G94" s="23">
        <v>150</v>
      </c>
      <c r="H94" s="47">
        <f t="shared" ref="H94:H111" si="2">H93+F94-G94</f>
        <v>825</v>
      </c>
    </row>
    <row r="95" spans="1:8" x14ac:dyDescent="0.2">
      <c r="A95" s="87"/>
      <c r="B95" s="18"/>
      <c r="C95" s="18"/>
      <c r="D95" s="18"/>
      <c r="E95" s="11" t="s">
        <v>103</v>
      </c>
      <c r="F95" s="24"/>
      <c r="G95" s="23">
        <v>200</v>
      </c>
      <c r="H95" s="47">
        <f t="shared" si="2"/>
        <v>625</v>
      </c>
    </row>
    <row r="96" spans="1:8" x14ac:dyDescent="0.2">
      <c r="A96" s="46">
        <v>46052</v>
      </c>
      <c r="B96" s="18" t="s">
        <v>60</v>
      </c>
      <c r="C96" s="18" t="s">
        <v>25</v>
      </c>
      <c r="D96" s="18" t="s">
        <v>105</v>
      </c>
      <c r="E96" s="11" t="s">
        <v>104</v>
      </c>
      <c r="F96" s="24">
        <v>15000</v>
      </c>
      <c r="G96" s="23">
        <v>15000</v>
      </c>
      <c r="H96" s="47">
        <f t="shared" si="2"/>
        <v>625</v>
      </c>
    </row>
    <row r="97" spans="1:8" x14ac:dyDescent="0.2">
      <c r="A97" s="48"/>
      <c r="B97" s="18"/>
      <c r="C97" s="18"/>
      <c r="D97" s="18"/>
      <c r="E97" s="11" t="s">
        <v>71</v>
      </c>
      <c r="F97" s="24"/>
      <c r="G97" s="23">
        <v>100</v>
      </c>
      <c r="H97" s="47">
        <f t="shared" si="2"/>
        <v>525</v>
      </c>
    </row>
    <row r="98" spans="1:8" x14ac:dyDescent="0.2">
      <c r="A98" s="46">
        <v>46053</v>
      </c>
      <c r="B98" s="18"/>
      <c r="C98" s="18"/>
      <c r="D98" s="18"/>
      <c r="E98" s="11" t="s">
        <v>106</v>
      </c>
      <c r="F98" s="24"/>
      <c r="G98" s="23">
        <v>380</v>
      </c>
      <c r="H98" s="47">
        <f t="shared" si="2"/>
        <v>145</v>
      </c>
    </row>
    <row r="99" spans="1:8" x14ac:dyDescent="0.2">
      <c r="A99" s="48"/>
      <c r="B99" s="18"/>
      <c r="C99" s="18"/>
      <c r="D99" s="18"/>
      <c r="E99" s="11"/>
      <c r="F99" s="24"/>
      <c r="G99" s="23"/>
      <c r="H99" s="47">
        <f t="shared" si="2"/>
        <v>145</v>
      </c>
    </row>
    <row r="100" spans="1:8" x14ac:dyDescent="0.2">
      <c r="A100" s="49"/>
      <c r="B100" s="18"/>
      <c r="C100" s="18"/>
      <c r="D100" s="18"/>
      <c r="E100" s="11"/>
      <c r="F100" s="24"/>
      <c r="G100" s="23"/>
      <c r="H100" s="47">
        <f t="shared" si="2"/>
        <v>145</v>
      </c>
    </row>
    <row r="101" spans="1:8" x14ac:dyDescent="0.2">
      <c r="A101" s="49"/>
      <c r="B101" s="18"/>
      <c r="C101" s="18"/>
      <c r="D101" s="18"/>
      <c r="E101" s="11"/>
      <c r="F101" s="24"/>
      <c r="G101" s="23"/>
      <c r="H101" s="47">
        <f t="shared" si="2"/>
        <v>145</v>
      </c>
    </row>
    <row r="102" spans="1:8" x14ac:dyDescent="0.2">
      <c r="A102" s="49"/>
      <c r="B102" s="18"/>
      <c r="C102" s="18"/>
      <c r="D102" s="18"/>
      <c r="E102" s="11"/>
      <c r="F102" s="24"/>
      <c r="G102" s="23"/>
      <c r="H102" s="47">
        <f t="shared" si="2"/>
        <v>145</v>
      </c>
    </row>
    <row r="103" spans="1:8" x14ac:dyDescent="0.2">
      <c r="A103" s="49"/>
      <c r="B103" s="18"/>
      <c r="C103" s="18"/>
      <c r="D103" s="18"/>
      <c r="E103" s="11"/>
      <c r="F103" s="24"/>
      <c r="G103" s="23"/>
      <c r="H103" s="47">
        <f t="shared" si="2"/>
        <v>145</v>
      </c>
    </row>
    <row r="104" spans="1:8" x14ac:dyDescent="0.2">
      <c r="A104" s="49"/>
      <c r="B104" s="18"/>
      <c r="C104" s="18"/>
      <c r="D104" s="18"/>
      <c r="E104" s="11"/>
      <c r="F104" s="24"/>
      <c r="G104" s="23"/>
      <c r="H104" s="47">
        <f t="shared" si="2"/>
        <v>145</v>
      </c>
    </row>
    <row r="105" spans="1:8" x14ac:dyDescent="0.2">
      <c r="A105" s="49"/>
      <c r="B105" s="18"/>
      <c r="C105" s="18"/>
      <c r="D105" s="18"/>
      <c r="E105" s="11"/>
      <c r="F105" s="24"/>
      <c r="G105" s="23"/>
      <c r="H105" s="47">
        <f t="shared" si="2"/>
        <v>145</v>
      </c>
    </row>
    <row r="106" spans="1:8" x14ac:dyDescent="0.2">
      <c r="A106" s="49"/>
      <c r="B106" s="18"/>
      <c r="C106" s="18"/>
      <c r="D106" s="18"/>
      <c r="E106" s="11"/>
      <c r="F106" s="24"/>
      <c r="G106" s="23"/>
      <c r="H106" s="47">
        <f t="shared" si="2"/>
        <v>145</v>
      </c>
    </row>
    <row r="107" spans="1:8" x14ac:dyDescent="0.2">
      <c r="A107" s="49"/>
      <c r="B107" s="18"/>
      <c r="C107" s="18"/>
      <c r="D107" s="18"/>
      <c r="E107" s="11"/>
      <c r="F107" s="24"/>
      <c r="G107" s="23"/>
      <c r="H107" s="47">
        <f t="shared" si="2"/>
        <v>145</v>
      </c>
    </row>
    <row r="108" spans="1:8" x14ac:dyDescent="0.2">
      <c r="A108" s="49"/>
      <c r="B108" s="18"/>
      <c r="C108" s="18"/>
      <c r="D108" s="18"/>
      <c r="E108" s="11"/>
      <c r="F108" s="24"/>
      <c r="G108" s="23"/>
      <c r="H108" s="47">
        <f t="shared" si="2"/>
        <v>145</v>
      </c>
    </row>
    <row r="109" spans="1:8" x14ac:dyDescent="0.2">
      <c r="A109" s="49"/>
      <c r="B109" s="18"/>
      <c r="C109" s="18"/>
      <c r="D109" s="18"/>
      <c r="E109" s="11"/>
      <c r="F109" s="24"/>
      <c r="G109" s="23"/>
      <c r="H109" s="47">
        <f t="shared" si="2"/>
        <v>145</v>
      </c>
    </row>
    <row r="110" spans="1:8" x14ac:dyDescent="0.2">
      <c r="A110" s="49"/>
      <c r="B110" s="18"/>
      <c r="C110" s="18"/>
      <c r="D110" s="18"/>
      <c r="E110" s="11"/>
      <c r="F110" s="24"/>
      <c r="G110" s="23"/>
      <c r="H110" s="47">
        <f t="shared" si="2"/>
        <v>145</v>
      </c>
    </row>
    <row r="111" spans="1:8" ht="13.5" thickBot="1" x14ac:dyDescent="0.25">
      <c r="A111" s="50"/>
      <c r="B111" s="51"/>
      <c r="C111" s="51"/>
      <c r="D111" s="51"/>
      <c r="E111" s="52"/>
      <c r="F111" s="53"/>
      <c r="G111" s="54"/>
      <c r="H111" s="55">
        <f t="shared" si="2"/>
        <v>145</v>
      </c>
    </row>
  </sheetData>
  <mergeCells count="21">
    <mergeCell ref="A72:A76"/>
    <mergeCell ref="A77:A80"/>
    <mergeCell ref="A81:A84"/>
    <mergeCell ref="A85:A87"/>
    <mergeCell ref="A93:A95"/>
    <mergeCell ref="I77:I78"/>
    <mergeCell ref="A88:A92"/>
    <mergeCell ref="A6:A7"/>
    <mergeCell ref="A11:A12"/>
    <mergeCell ref="A8:A9"/>
    <mergeCell ref="A13:A15"/>
    <mergeCell ref="A16:A22"/>
    <mergeCell ref="A23:A25"/>
    <mergeCell ref="A26:A27"/>
    <mergeCell ref="A29:A38"/>
    <mergeCell ref="A39:A47"/>
    <mergeCell ref="A48:A51"/>
    <mergeCell ref="A52:A54"/>
    <mergeCell ref="A56:A57"/>
    <mergeCell ref="A59:A66"/>
    <mergeCell ref="A67:A71"/>
  </mergeCells>
  <pageMargins left="0.25" right="0.25" top="0.75" bottom="0.75" header="0.3" footer="0.3"/>
  <pageSetup scale="68" fitToHeight="0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43DA4-C819-4A1F-AE78-5795E1336BC8}">
  <sheetPr>
    <pageSetUpPr fitToPage="1"/>
  </sheetPr>
  <dimension ref="A1:I111"/>
  <sheetViews>
    <sheetView tabSelected="1" view="pageBreakPreview" topLeftCell="A28" zoomScaleNormal="100" zoomScaleSheetLayoutView="100" workbookViewId="0">
      <selection activeCell="E50" sqref="E50"/>
    </sheetView>
  </sheetViews>
  <sheetFormatPr defaultColWidth="8.85546875" defaultRowHeight="12.75" x14ac:dyDescent="0.2"/>
  <cols>
    <col min="1" max="1" width="9.28515625" style="19" bestFit="1" customWidth="1"/>
    <col min="2" max="2" width="14.7109375" style="16" customWidth="1"/>
    <col min="3" max="3" width="16" style="81" bestFit="1" customWidth="1"/>
    <col min="4" max="4" width="19.140625" style="1" customWidth="1"/>
    <col min="5" max="5" width="114.28515625" style="1" customWidth="1"/>
    <col min="6" max="6" width="10.5703125" style="1" bestFit="1" customWidth="1"/>
    <col min="7" max="7" width="10.140625" style="1" bestFit="1" customWidth="1"/>
    <col min="8" max="8" width="11.42578125" style="1" bestFit="1" customWidth="1"/>
    <col min="9" max="9" width="34.42578125" style="1" bestFit="1" customWidth="1"/>
    <col min="10" max="16384" width="8.85546875" style="1"/>
  </cols>
  <sheetData>
    <row r="1" spans="1:8" ht="30" customHeight="1" x14ac:dyDescent="0.2">
      <c r="A1" s="90" t="s">
        <v>177</v>
      </c>
      <c r="B1" s="91"/>
      <c r="C1" s="91"/>
      <c r="D1" s="91"/>
      <c r="E1" s="91"/>
      <c r="F1" s="91"/>
      <c r="G1" s="91"/>
      <c r="H1" s="92"/>
    </row>
    <row r="2" spans="1:8" x14ac:dyDescent="0.2">
      <c r="A2" s="69"/>
      <c r="B2" s="25"/>
      <c r="C2" s="77"/>
      <c r="D2" s="11"/>
      <c r="E2" s="11"/>
      <c r="F2" s="62" t="s">
        <v>0</v>
      </c>
      <c r="G2" s="62" t="s">
        <v>1</v>
      </c>
      <c r="H2" s="70" t="s">
        <v>2</v>
      </c>
    </row>
    <row r="3" spans="1:8" s="22" customFormat="1" x14ac:dyDescent="0.2">
      <c r="A3" s="71" t="s">
        <v>8</v>
      </c>
      <c r="B3" s="63" t="s">
        <v>3</v>
      </c>
      <c r="C3" s="63" t="s">
        <v>4</v>
      </c>
      <c r="D3" s="63" t="s">
        <v>5</v>
      </c>
      <c r="E3" s="63" t="s">
        <v>6</v>
      </c>
      <c r="F3" s="64">
        <f>SUM(F4:F267)</f>
        <v>37165</v>
      </c>
      <c r="G3" s="65">
        <f>SUM(G4:G267)</f>
        <v>35737.06</v>
      </c>
      <c r="H3" s="72">
        <f>+F3-G3</f>
        <v>1427.9400000000023</v>
      </c>
    </row>
    <row r="4" spans="1:8" x14ac:dyDescent="0.2">
      <c r="A4" s="49"/>
      <c r="B4" s="10"/>
      <c r="C4" s="78"/>
      <c r="D4" s="10"/>
      <c r="E4" s="11"/>
      <c r="F4" s="66"/>
      <c r="G4" s="67"/>
      <c r="H4" s="73"/>
    </row>
    <row r="5" spans="1:8" s="15" customFormat="1" ht="38.25" x14ac:dyDescent="0.25">
      <c r="A5" s="44">
        <v>46054</v>
      </c>
      <c r="B5" s="17" t="s">
        <v>121</v>
      </c>
      <c r="C5" s="76" t="s">
        <v>25</v>
      </c>
      <c r="D5" s="17" t="s">
        <v>120</v>
      </c>
      <c r="E5" s="12" t="s">
        <v>108</v>
      </c>
      <c r="F5" s="13">
        <v>145</v>
      </c>
      <c r="G5" s="14">
        <v>0</v>
      </c>
      <c r="H5" s="45">
        <f t="shared" ref="H5:H68" si="0">H4+F5-G5</f>
        <v>145</v>
      </c>
    </row>
    <row r="6" spans="1:8" s="15" customFormat="1" x14ac:dyDescent="0.25">
      <c r="A6" s="88">
        <v>46055</v>
      </c>
      <c r="B6" s="17"/>
      <c r="C6" s="76"/>
      <c r="D6" s="17"/>
      <c r="E6" s="12" t="s">
        <v>109</v>
      </c>
      <c r="F6" s="13">
        <v>6000</v>
      </c>
      <c r="G6" s="23">
        <v>116</v>
      </c>
      <c r="H6" s="47">
        <f t="shared" si="0"/>
        <v>6029</v>
      </c>
    </row>
    <row r="7" spans="1:8" s="15" customFormat="1" x14ac:dyDescent="0.25">
      <c r="A7" s="88"/>
      <c r="B7" s="17"/>
      <c r="C7" s="76"/>
      <c r="D7" s="17"/>
      <c r="E7" s="12" t="s">
        <v>118</v>
      </c>
      <c r="F7" s="24"/>
      <c r="G7" s="23">
        <v>400</v>
      </c>
      <c r="H7" s="47">
        <f t="shared" si="0"/>
        <v>5629</v>
      </c>
    </row>
    <row r="8" spans="1:8" s="15" customFormat="1" x14ac:dyDescent="0.25">
      <c r="A8" s="88"/>
      <c r="B8" s="17"/>
      <c r="C8" s="76"/>
      <c r="D8" s="17"/>
      <c r="E8" s="12" t="s">
        <v>119</v>
      </c>
      <c r="F8" s="24"/>
      <c r="G8" s="23">
        <v>450</v>
      </c>
      <c r="H8" s="47">
        <f t="shared" si="0"/>
        <v>5179</v>
      </c>
    </row>
    <row r="9" spans="1:8" s="15" customFormat="1" x14ac:dyDescent="0.25">
      <c r="A9" s="88"/>
      <c r="B9" s="17"/>
      <c r="C9" s="76"/>
      <c r="D9" s="17"/>
      <c r="E9" s="12" t="s">
        <v>117</v>
      </c>
      <c r="F9" s="24"/>
      <c r="G9" s="23">
        <v>280</v>
      </c>
      <c r="H9" s="47">
        <f t="shared" si="0"/>
        <v>4899</v>
      </c>
    </row>
    <row r="10" spans="1:8" s="15" customFormat="1" x14ac:dyDescent="0.2">
      <c r="A10" s="88">
        <v>46056</v>
      </c>
      <c r="B10" s="18"/>
      <c r="C10" s="76"/>
      <c r="D10" s="17"/>
      <c r="E10" s="12" t="s">
        <v>110</v>
      </c>
      <c r="F10" s="24"/>
      <c r="G10" s="23">
        <v>398</v>
      </c>
      <c r="H10" s="47">
        <f t="shared" si="0"/>
        <v>4501</v>
      </c>
    </row>
    <row r="11" spans="1:8" s="15" customFormat="1" x14ac:dyDescent="0.25">
      <c r="A11" s="88"/>
      <c r="B11" s="17"/>
      <c r="C11" s="76"/>
      <c r="D11" s="17"/>
      <c r="E11" s="12" t="s">
        <v>111</v>
      </c>
      <c r="F11" s="24"/>
      <c r="G11" s="23">
        <v>928</v>
      </c>
      <c r="H11" s="47">
        <f t="shared" si="0"/>
        <v>3573</v>
      </c>
    </row>
    <row r="12" spans="1:8" s="15" customFormat="1" x14ac:dyDescent="0.25">
      <c r="A12" s="88"/>
      <c r="B12" s="17"/>
      <c r="C12" s="76"/>
      <c r="D12" s="17"/>
      <c r="E12" s="12" t="s">
        <v>116</v>
      </c>
      <c r="F12" s="24"/>
      <c r="G12" s="23">
        <v>200</v>
      </c>
      <c r="H12" s="47">
        <f t="shared" si="0"/>
        <v>3373</v>
      </c>
    </row>
    <row r="13" spans="1:8" s="15" customFormat="1" x14ac:dyDescent="0.2">
      <c r="A13" s="88"/>
      <c r="B13" s="18"/>
      <c r="C13" s="76"/>
      <c r="D13" s="17"/>
      <c r="E13" s="12" t="s">
        <v>116</v>
      </c>
      <c r="F13" s="24"/>
      <c r="G13" s="23">
        <v>20</v>
      </c>
      <c r="H13" s="47">
        <f t="shared" si="0"/>
        <v>3353</v>
      </c>
    </row>
    <row r="14" spans="1:8" s="15" customFormat="1" x14ac:dyDescent="0.25">
      <c r="A14" s="88"/>
      <c r="B14" s="17"/>
      <c r="C14" s="76"/>
      <c r="D14" s="17"/>
      <c r="E14" s="12" t="s">
        <v>109</v>
      </c>
      <c r="F14" s="24"/>
      <c r="G14" s="23">
        <v>116</v>
      </c>
      <c r="H14" s="47">
        <f t="shared" si="0"/>
        <v>3237</v>
      </c>
    </row>
    <row r="15" spans="1:8" s="15" customFormat="1" x14ac:dyDescent="0.25">
      <c r="A15" s="88">
        <v>46057</v>
      </c>
      <c r="B15" s="17"/>
      <c r="C15" s="76"/>
      <c r="D15" s="17"/>
      <c r="E15" s="12" t="s">
        <v>112</v>
      </c>
      <c r="F15" s="24"/>
      <c r="G15" s="23">
        <v>170</v>
      </c>
      <c r="H15" s="47">
        <f t="shared" si="0"/>
        <v>3067</v>
      </c>
    </row>
    <row r="16" spans="1:8" s="15" customFormat="1" x14ac:dyDescent="0.25">
      <c r="A16" s="88"/>
      <c r="B16" s="17"/>
      <c r="C16" s="76"/>
      <c r="D16" s="17"/>
      <c r="E16" s="12" t="s">
        <v>113</v>
      </c>
      <c r="F16" s="24"/>
      <c r="G16" s="23">
        <v>150</v>
      </c>
      <c r="H16" s="47">
        <f t="shared" si="0"/>
        <v>2917</v>
      </c>
    </row>
    <row r="17" spans="1:8" s="15" customFormat="1" x14ac:dyDescent="0.25">
      <c r="A17" s="88">
        <v>46058</v>
      </c>
      <c r="B17" s="17"/>
      <c r="C17" s="76"/>
      <c r="D17" s="17"/>
      <c r="E17" s="12" t="s">
        <v>114</v>
      </c>
      <c r="F17" s="24"/>
      <c r="G17" s="23">
        <v>2400</v>
      </c>
      <c r="H17" s="47">
        <f t="shared" si="0"/>
        <v>517</v>
      </c>
    </row>
    <row r="18" spans="1:8" s="15" customFormat="1" x14ac:dyDescent="0.25">
      <c r="A18" s="88"/>
      <c r="B18" s="17"/>
      <c r="C18" s="76"/>
      <c r="D18" s="17"/>
      <c r="E18" s="12" t="s">
        <v>115</v>
      </c>
      <c r="F18" s="24"/>
      <c r="G18" s="23">
        <v>180</v>
      </c>
      <c r="H18" s="47">
        <f t="shared" si="0"/>
        <v>337</v>
      </c>
    </row>
    <row r="19" spans="1:8" s="15" customFormat="1" ht="38.25" x14ac:dyDescent="0.25">
      <c r="A19" s="88">
        <v>46060</v>
      </c>
      <c r="B19" s="17" t="s">
        <v>121</v>
      </c>
      <c r="C19" s="76" t="s">
        <v>25</v>
      </c>
      <c r="D19" s="17" t="s">
        <v>120</v>
      </c>
      <c r="E19" s="56" t="s">
        <v>122</v>
      </c>
      <c r="F19" s="24">
        <v>10000</v>
      </c>
      <c r="G19" s="23">
        <v>10000</v>
      </c>
      <c r="H19" s="47">
        <f t="shared" si="0"/>
        <v>337</v>
      </c>
    </row>
    <row r="20" spans="1:8" s="15" customFormat="1" ht="38.25" x14ac:dyDescent="0.25">
      <c r="A20" s="88"/>
      <c r="B20" s="17" t="s">
        <v>121</v>
      </c>
      <c r="C20" s="76" t="s">
        <v>25</v>
      </c>
      <c r="D20" s="17" t="s">
        <v>120</v>
      </c>
      <c r="E20" s="12" t="s">
        <v>123</v>
      </c>
      <c r="F20" s="24">
        <v>5000</v>
      </c>
      <c r="G20" s="23">
        <v>112</v>
      </c>
      <c r="H20" s="47">
        <f t="shared" si="0"/>
        <v>5225</v>
      </c>
    </row>
    <row r="21" spans="1:8" s="15" customFormat="1" x14ac:dyDescent="0.25">
      <c r="A21" s="88"/>
      <c r="B21" s="17"/>
      <c r="C21" s="76"/>
      <c r="D21" s="17"/>
      <c r="E21" s="12" t="s">
        <v>124</v>
      </c>
      <c r="F21" s="24"/>
      <c r="G21" s="23">
        <v>150</v>
      </c>
      <c r="H21" s="47">
        <f t="shared" si="0"/>
        <v>5075</v>
      </c>
    </row>
    <row r="22" spans="1:8" s="15" customFormat="1" x14ac:dyDescent="0.25">
      <c r="A22" s="88"/>
      <c r="B22" s="17"/>
      <c r="C22" s="76"/>
      <c r="D22" s="17"/>
      <c r="E22" s="12" t="s">
        <v>125</v>
      </c>
      <c r="F22" s="24"/>
      <c r="G22" s="23">
        <v>220</v>
      </c>
      <c r="H22" s="47">
        <f t="shared" si="0"/>
        <v>4855</v>
      </c>
    </row>
    <row r="23" spans="1:8" s="15" customFormat="1" x14ac:dyDescent="0.25">
      <c r="A23" s="88"/>
      <c r="B23" s="17"/>
      <c r="C23" s="76"/>
      <c r="D23" s="17"/>
      <c r="E23" s="12" t="s">
        <v>126</v>
      </c>
      <c r="F23" s="24"/>
      <c r="G23" s="23">
        <v>54</v>
      </c>
      <c r="H23" s="47">
        <f t="shared" si="0"/>
        <v>4801</v>
      </c>
    </row>
    <row r="24" spans="1:8" s="15" customFormat="1" x14ac:dyDescent="0.2">
      <c r="A24" s="88"/>
      <c r="B24" s="18"/>
      <c r="C24" s="76"/>
      <c r="D24" s="17"/>
      <c r="E24" s="12" t="s">
        <v>127</v>
      </c>
      <c r="F24" s="24"/>
      <c r="G24" s="23">
        <v>500</v>
      </c>
      <c r="H24" s="47">
        <f t="shared" si="0"/>
        <v>4301</v>
      </c>
    </row>
    <row r="25" spans="1:8" s="15" customFormat="1" x14ac:dyDescent="0.25">
      <c r="A25" s="88"/>
      <c r="B25" s="17"/>
      <c r="C25" s="76"/>
      <c r="D25" s="17"/>
      <c r="E25" s="12" t="s">
        <v>128</v>
      </c>
      <c r="F25" s="24"/>
      <c r="G25" s="23">
        <v>290</v>
      </c>
      <c r="H25" s="47">
        <f t="shared" si="0"/>
        <v>4011</v>
      </c>
    </row>
    <row r="26" spans="1:8" s="15" customFormat="1" x14ac:dyDescent="0.25">
      <c r="A26" s="88"/>
      <c r="B26" s="17"/>
      <c r="C26" s="76"/>
      <c r="D26" s="17"/>
      <c r="E26" s="12" t="s">
        <v>130</v>
      </c>
      <c r="F26" s="24"/>
      <c r="G26" s="23">
        <v>170</v>
      </c>
      <c r="H26" s="47">
        <f t="shared" si="0"/>
        <v>3841</v>
      </c>
    </row>
    <row r="27" spans="1:8" s="15" customFormat="1" x14ac:dyDescent="0.25">
      <c r="A27" s="88">
        <v>46062</v>
      </c>
      <c r="B27" s="17"/>
      <c r="C27" s="76"/>
      <c r="D27" s="17"/>
      <c r="E27" s="12" t="s">
        <v>129</v>
      </c>
      <c r="F27" s="24"/>
      <c r="G27" s="23">
        <v>600</v>
      </c>
      <c r="H27" s="47">
        <f t="shared" si="0"/>
        <v>3241</v>
      </c>
    </row>
    <row r="28" spans="1:8" s="15" customFormat="1" x14ac:dyDescent="0.25">
      <c r="A28" s="88"/>
      <c r="B28" s="17"/>
      <c r="C28" s="76"/>
      <c r="D28" s="17"/>
      <c r="E28" s="12" t="s">
        <v>131</v>
      </c>
      <c r="F28" s="24"/>
      <c r="G28" s="23">
        <v>121</v>
      </c>
      <c r="H28" s="47">
        <f t="shared" si="0"/>
        <v>3120</v>
      </c>
    </row>
    <row r="29" spans="1:8" s="15" customFormat="1" x14ac:dyDescent="0.25">
      <c r="A29" s="88"/>
      <c r="B29" s="17"/>
      <c r="C29" s="76"/>
      <c r="D29" s="17"/>
      <c r="E29" s="12" t="s">
        <v>132</v>
      </c>
      <c r="F29" s="24"/>
      <c r="G29" s="23">
        <v>150</v>
      </c>
      <c r="H29" s="47">
        <f t="shared" si="0"/>
        <v>2970</v>
      </c>
    </row>
    <row r="30" spans="1:8" s="15" customFormat="1" x14ac:dyDescent="0.2">
      <c r="A30" s="88">
        <v>46063</v>
      </c>
      <c r="B30" s="18"/>
      <c r="C30" s="76"/>
      <c r="D30" s="17"/>
      <c r="E30" s="12" t="s">
        <v>133</v>
      </c>
      <c r="F30" s="24"/>
      <c r="G30" s="23">
        <v>804</v>
      </c>
      <c r="H30" s="47">
        <f t="shared" si="0"/>
        <v>2166</v>
      </c>
    </row>
    <row r="31" spans="1:8" s="15" customFormat="1" x14ac:dyDescent="0.25">
      <c r="A31" s="88"/>
      <c r="B31" s="17"/>
      <c r="C31" s="76"/>
      <c r="D31" s="17"/>
      <c r="E31" s="12" t="s">
        <v>130</v>
      </c>
      <c r="F31" s="24"/>
      <c r="G31" s="23">
        <v>170</v>
      </c>
      <c r="H31" s="47">
        <f t="shared" si="0"/>
        <v>1996</v>
      </c>
    </row>
    <row r="32" spans="1:8" s="15" customFormat="1" x14ac:dyDescent="0.25">
      <c r="A32" s="88"/>
      <c r="B32" s="17"/>
      <c r="C32" s="76"/>
      <c r="D32" s="17"/>
      <c r="E32" s="12" t="s">
        <v>134</v>
      </c>
      <c r="F32" s="24"/>
      <c r="G32" s="23">
        <v>450</v>
      </c>
      <c r="H32" s="47">
        <f t="shared" si="0"/>
        <v>1546</v>
      </c>
    </row>
    <row r="33" spans="1:8" s="15" customFormat="1" x14ac:dyDescent="0.25">
      <c r="A33" s="88"/>
      <c r="B33" s="17"/>
      <c r="C33" s="76"/>
      <c r="D33" s="17"/>
      <c r="E33" s="12" t="s">
        <v>115</v>
      </c>
      <c r="F33" s="24"/>
      <c r="G33" s="23">
        <v>150</v>
      </c>
      <c r="H33" s="47">
        <f t="shared" si="0"/>
        <v>1396</v>
      </c>
    </row>
    <row r="34" spans="1:8" s="15" customFormat="1" x14ac:dyDescent="0.25">
      <c r="A34" s="88">
        <v>46064</v>
      </c>
      <c r="B34" s="17"/>
      <c r="C34" s="76"/>
      <c r="D34" s="17"/>
      <c r="E34" s="12" t="s">
        <v>135</v>
      </c>
      <c r="F34" s="24"/>
      <c r="G34" s="23">
        <v>150</v>
      </c>
      <c r="H34" s="47">
        <f t="shared" si="0"/>
        <v>1246</v>
      </c>
    </row>
    <row r="35" spans="1:8" s="15" customFormat="1" x14ac:dyDescent="0.25">
      <c r="A35" s="88"/>
      <c r="B35" s="17"/>
      <c r="C35" s="76"/>
      <c r="D35" s="17"/>
      <c r="E35" s="12" t="s">
        <v>137</v>
      </c>
      <c r="F35" s="24"/>
      <c r="G35" s="23">
        <v>1</v>
      </c>
      <c r="H35" s="47">
        <f t="shared" si="0"/>
        <v>1245</v>
      </c>
    </row>
    <row r="36" spans="1:8" s="15" customFormat="1" x14ac:dyDescent="0.25">
      <c r="A36" s="88"/>
      <c r="B36" s="17"/>
      <c r="C36" s="76"/>
      <c r="D36" s="17"/>
      <c r="E36" s="12" t="s">
        <v>136</v>
      </c>
      <c r="F36" s="24"/>
      <c r="G36" s="23">
        <v>1</v>
      </c>
      <c r="H36" s="47">
        <f t="shared" si="0"/>
        <v>1244</v>
      </c>
    </row>
    <row r="37" spans="1:8" s="15" customFormat="1" x14ac:dyDescent="0.25">
      <c r="A37" s="88"/>
      <c r="B37" s="17"/>
      <c r="C37" s="76"/>
      <c r="D37" s="17"/>
      <c r="E37" s="12" t="s">
        <v>136</v>
      </c>
      <c r="F37" s="24"/>
      <c r="G37" s="23">
        <v>1</v>
      </c>
      <c r="H37" s="47">
        <f t="shared" si="0"/>
        <v>1243</v>
      </c>
    </row>
    <row r="38" spans="1:8" s="15" customFormat="1" x14ac:dyDescent="0.25">
      <c r="A38" s="88">
        <v>46065</v>
      </c>
      <c r="B38" s="17"/>
      <c r="C38" s="76"/>
      <c r="D38" s="17"/>
      <c r="E38" s="12" t="s">
        <v>138</v>
      </c>
      <c r="F38" s="24"/>
      <c r="G38" s="23">
        <v>341</v>
      </c>
      <c r="H38" s="47">
        <f t="shared" si="0"/>
        <v>902</v>
      </c>
    </row>
    <row r="39" spans="1:8" x14ac:dyDescent="0.2">
      <c r="A39" s="88"/>
      <c r="B39" s="25"/>
      <c r="C39" s="77"/>
      <c r="D39" s="11"/>
      <c r="E39" s="12" t="s">
        <v>139</v>
      </c>
      <c r="F39" s="24"/>
      <c r="G39" s="23">
        <v>145</v>
      </c>
      <c r="H39" s="47">
        <f t="shared" si="0"/>
        <v>757</v>
      </c>
    </row>
    <row r="40" spans="1:8" x14ac:dyDescent="0.2">
      <c r="A40" s="88"/>
      <c r="B40" s="18"/>
      <c r="C40" s="76"/>
      <c r="D40" s="17"/>
      <c r="E40" s="12" t="s">
        <v>140</v>
      </c>
      <c r="F40" s="24"/>
      <c r="G40" s="23">
        <v>156</v>
      </c>
      <c r="H40" s="47">
        <f t="shared" si="0"/>
        <v>601</v>
      </c>
    </row>
    <row r="41" spans="1:8" x14ac:dyDescent="0.2">
      <c r="A41" s="44">
        <v>46066</v>
      </c>
      <c r="B41" s="25"/>
      <c r="C41" s="77"/>
      <c r="D41" s="11"/>
      <c r="E41" s="11" t="s">
        <v>143</v>
      </c>
      <c r="F41" s="24"/>
      <c r="G41" s="23">
        <v>145</v>
      </c>
      <c r="H41" s="47">
        <f t="shared" si="0"/>
        <v>456</v>
      </c>
    </row>
    <row r="42" spans="1:8" x14ac:dyDescent="0.2">
      <c r="A42" s="88">
        <v>46067</v>
      </c>
      <c r="B42" s="25"/>
      <c r="C42" s="77"/>
      <c r="D42" s="11"/>
      <c r="E42" s="11" t="s">
        <v>141</v>
      </c>
      <c r="F42" s="24"/>
      <c r="G42" s="23">
        <v>200</v>
      </c>
      <c r="H42" s="47">
        <f t="shared" si="0"/>
        <v>256</v>
      </c>
    </row>
    <row r="43" spans="1:8" x14ac:dyDescent="0.2">
      <c r="A43" s="88"/>
      <c r="B43" s="25"/>
      <c r="C43" s="77"/>
      <c r="D43" s="11"/>
      <c r="E43" s="12" t="s">
        <v>142</v>
      </c>
      <c r="F43" s="24"/>
      <c r="G43" s="23">
        <v>250</v>
      </c>
      <c r="H43" s="47">
        <f t="shared" si="0"/>
        <v>6</v>
      </c>
    </row>
    <row r="44" spans="1:8" ht="25.5" x14ac:dyDescent="0.2">
      <c r="A44" s="88"/>
      <c r="B44" s="17" t="s">
        <v>120</v>
      </c>
      <c r="C44" s="76" t="s">
        <v>145</v>
      </c>
      <c r="D44" s="17" t="s">
        <v>120</v>
      </c>
      <c r="E44" s="12" t="s">
        <v>144</v>
      </c>
      <c r="F44" s="24">
        <v>20</v>
      </c>
      <c r="G44" s="23"/>
      <c r="H44" s="47">
        <f t="shared" si="0"/>
        <v>26</v>
      </c>
    </row>
    <row r="45" spans="1:8" ht="25.5" x14ac:dyDescent="0.2">
      <c r="A45" s="74">
        <v>46069</v>
      </c>
      <c r="B45" s="17" t="s">
        <v>120</v>
      </c>
      <c r="C45" s="76" t="s">
        <v>145</v>
      </c>
      <c r="D45" s="17" t="s">
        <v>120</v>
      </c>
      <c r="E45" s="12"/>
      <c r="F45" s="24">
        <v>6000</v>
      </c>
      <c r="G45" s="23"/>
      <c r="H45" s="47">
        <f t="shared" si="0"/>
        <v>6026</v>
      </c>
    </row>
    <row r="46" spans="1:8" x14ac:dyDescent="0.2">
      <c r="A46" s="88">
        <v>46071</v>
      </c>
      <c r="B46" s="17"/>
      <c r="C46" s="77"/>
      <c r="D46" s="11"/>
      <c r="E46" s="11" t="s">
        <v>146</v>
      </c>
      <c r="F46" s="24"/>
      <c r="G46" s="23">
        <v>160</v>
      </c>
      <c r="H46" s="47">
        <f t="shared" si="0"/>
        <v>5866</v>
      </c>
    </row>
    <row r="47" spans="1:8" x14ac:dyDescent="0.2">
      <c r="A47" s="88"/>
      <c r="B47" s="17"/>
      <c r="C47" s="77"/>
      <c r="D47" s="11"/>
      <c r="E47" s="11" t="s">
        <v>147</v>
      </c>
      <c r="F47" s="24"/>
      <c r="G47" s="23">
        <v>400</v>
      </c>
      <c r="H47" s="47">
        <f t="shared" si="0"/>
        <v>5466</v>
      </c>
    </row>
    <row r="48" spans="1:8" x14ac:dyDescent="0.2">
      <c r="A48" s="88">
        <v>46072</v>
      </c>
      <c r="B48" s="18"/>
      <c r="C48" s="76"/>
      <c r="D48" s="18"/>
      <c r="E48" s="11" t="s">
        <v>148</v>
      </c>
      <c r="F48" s="24"/>
      <c r="G48" s="23">
        <v>400</v>
      </c>
      <c r="H48" s="47">
        <f t="shared" si="0"/>
        <v>5066</v>
      </c>
    </row>
    <row r="49" spans="1:8" x14ac:dyDescent="0.2">
      <c r="A49" s="88"/>
      <c r="B49" s="18"/>
      <c r="C49" s="76"/>
      <c r="D49" s="18"/>
      <c r="E49" s="11" t="s">
        <v>149</v>
      </c>
      <c r="F49" s="24"/>
      <c r="G49" s="23">
        <v>104.9</v>
      </c>
      <c r="H49" s="47">
        <f t="shared" si="0"/>
        <v>4961.1000000000004</v>
      </c>
    </row>
    <row r="50" spans="1:8" x14ac:dyDescent="0.2">
      <c r="A50" s="88"/>
      <c r="B50" s="17"/>
      <c r="C50" s="76"/>
      <c r="D50" s="18"/>
      <c r="E50" s="11" t="s">
        <v>150</v>
      </c>
      <c r="F50" s="24"/>
      <c r="G50" s="23">
        <v>100</v>
      </c>
      <c r="H50" s="47">
        <f t="shared" si="0"/>
        <v>4861.1000000000004</v>
      </c>
    </row>
    <row r="51" spans="1:8" x14ac:dyDescent="0.2">
      <c r="A51" s="88"/>
      <c r="B51" s="18"/>
      <c r="C51" s="76"/>
      <c r="D51" s="18"/>
      <c r="E51" s="12" t="s">
        <v>151</v>
      </c>
      <c r="F51" s="24"/>
      <c r="G51" s="23">
        <v>80</v>
      </c>
      <c r="H51" s="47">
        <f t="shared" si="0"/>
        <v>4781.1000000000004</v>
      </c>
    </row>
    <row r="52" spans="1:8" x14ac:dyDescent="0.2">
      <c r="A52" s="88">
        <v>46073</v>
      </c>
      <c r="B52" s="18"/>
      <c r="C52" s="76"/>
      <c r="D52" s="18"/>
      <c r="E52" s="12" t="s">
        <v>152</v>
      </c>
      <c r="F52" s="24"/>
      <c r="G52" s="23">
        <v>608</v>
      </c>
      <c r="H52" s="47">
        <f t="shared" si="0"/>
        <v>4173.1000000000004</v>
      </c>
    </row>
    <row r="53" spans="1:8" x14ac:dyDescent="0.2">
      <c r="A53" s="88"/>
      <c r="B53" s="18"/>
      <c r="C53" s="76"/>
      <c r="D53" s="18"/>
      <c r="E53" s="12" t="s">
        <v>153</v>
      </c>
      <c r="F53" s="24"/>
      <c r="G53" s="23">
        <v>180</v>
      </c>
      <c r="H53" s="47">
        <f t="shared" si="0"/>
        <v>3993.1000000000004</v>
      </c>
    </row>
    <row r="54" spans="1:8" x14ac:dyDescent="0.2">
      <c r="A54" s="88"/>
      <c r="B54" s="18"/>
      <c r="C54" s="76"/>
      <c r="D54" s="18"/>
      <c r="E54" s="57" t="s">
        <v>154</v>
      </c>
      <c r="F54" s="24"/>
      <c r="G54" s="23">
        <v>90</v>
      </c>
      <c r="H54" s="47">
        <f t="shared" si="0"/>
        <v>3903.1000000000004</v>
      </c>
    </row>
    <row r="55" spans="1:8" ht="25.5" x14ac:dyDescent="0.2">
      <c r="A55" s="88">
        <v>46076</v>
      </c>
      <c r="B55" s="17" t="s">
        <v>120</v>
      </c>
      <c r="C55" s="76" t="s">
        <v>145</v>
      </c>
      <c r="D55" s="17" t="s">
        <v>120</v>
      </c>
      <c r="E55" s="11" t="s">
        <v>155</v>
      </c>
      <c r="F55" s="24">
        <v>5000</v>
      </c>
      <c r="G55" s="23">
        <v>350</v>
      </c>
      <c r="H55" s="47">
        <f t="shared" si="0"/>
        <v>8553.1</v>
      </c>
    </row>
    <row r="56" spans="1:8" x14ac:dyDescent="0.2">
      <c r="A56" s="88"/>
      <c r="B56" s="18"/>
      <c r="C56" s="76"/>
      <c r="D56" s="18"/>
      <c r="E56" s="12" t="s">
        <v>156</v>
      </c>
      <c r="F56" s="24"/>
      <c r="G56" s="23">
        <v>319.5</v>
      </c>
      <c r="H56" s="47">
        <f t="shared" si="0"/>
        <v>8233.6</v>
      </c>
    </row>
    <row r="57" spans="1:8" x14ac:dyDescent="0.2">
      <c r="A57" s="88"/>
      <c r="B57" s="18"/>
      <c r="C57" s="76"/>
      <c r="D57" s="18"/>
      <c r="E57" s="12" t="s">
        <v>157</v>
      </c>
      <c r="F57" s="24"/>
      <c r="G57" s="23">
        <v>240</v>
      </c>
      <c r="H57" s="47">
        <f t="shared" si="0"/>
        <v>7993.6</v>
      </c>
    </row>
    <row r="58" spans="1:8" x14ac:dyDescent="0.2">
      <c r="A58" s="88"/>
      <c r="B58" s="18"/>
      <c r="C58" s="76"/>
      <c r="D58" s="18"/>
      <c r="E58" s="11" t="s">
        <v>158</v>
      </c>
      <c r="F58" s="24"/>
      <c r="G58" s="23">
        <v>82</v>
      </c>
      <c r="H58" s="47">
        <f t="shared" si="0"/>
        <v>7911.6</v>
      </c>
    </row>
    <row r="59" spans="1:8" x14ac:dyDescent="0.2">
      <c r="A59" s="88">
        <v>46077</v>
      </c>
      <c r="B59" s="18"/>
      <c r="C59" s="76"/>
      <c r="D59" s="18"/>
      <c r="E59" s="11" t="s">
        <v>159</v>
      </c>
      <c r="F59" s="24"/>
      <c r="G59" s="23">
        <v>1500</v>
      </c>
      <c r="H59" s="47">
        <f t="shared" si="0"/>
        <v>6411.6</v>
      </c>
    </row>
    <row r="60" spans="1:8" x14ac:dyDescent="0.2">
      <c r="A60" s="88"/>
      <c r="B60" s="18"/>
      <c r="C60" s="76"/>
      <c r="D60" s="18"/>
      <c r="E60" s="11" t="s">
        <v>176</v>
      </c>
      <c r="F60" s="24"/>
      <c r="G60" s="23">
        <v>180</v>
      </c>
      <c r="H60" s="47">
        <f t="shared" si="0"/>
        <v>6231.6</v>
      </c>
    </row>
    <row r="61" spans="1:8" x14ac:dyDescent="0.2">
      <c r="A61" s="88"/>
      <c r="B61" s="10"/>
      <c r="C61" s="78"/>
      <c r="D61" s="10"/>
      <c r="E61" s="57" t="s">
        <v>154</v>
      </c>
      <c r="F61" s="24"/>
      <c r="G61" s="23">
        <v>220</v>
      </c>
      <c r="H61" s="47">
        <f t="shared" si="0"/>
        <v>6011.6</v>
      </c>
    </row>
    <row r="62" spans="1:8" x14ac:dyDescent="0.2">
      <c r="A62" s="88"/>
      <c r="B62" s="10"/>
      <c r="C62" s="78"/>
      <c r="D62" s="10"/>
      <c r="E62" s="11" t="s">
        <v>174</v>
      </c>
      <c r="F62" s="24"/>
      <c r="G62" s="23">
        <v>243.7</v>
      </c>
      <c r="H62" s="47">
        <f t="shared" si="0"/>
        <v>5767.9000000000005</v>
      </c>
    </row>
    <row r="63" spans="1:8" x14ac:dyDescent="0.2">
      <c r="A63" s="88"/>
      <c r="B63" s="10"/>
      <c r="C63" s="78"/>
      <c r="D63" s="10"/>
      <c r="E63" s="11" t="s">
        <v>160</v>
      </c>
      <c r="F63" s="24"/>
      <c r="G63" s="23">
        <v>750</v>
      </c>
      <c r="H63" s="47">
        <f t="shared" si="0"/>
        <v>5017.9000000000005</v>
      </c>
    </row>
    <row r="64" spans="1:8" x14ac:dyDescent="0.2">
      <c r="A64" s="88">
        <v>46078</v>
      </c>
      <c r="B64" s="10"/>
      <c r="C64" s="78"/>
      <c r="D64" s="10"/>
      <c r="E64" s="11" t="s">
        <v>161</v>
      </c>
      <c r="F64" s="24"/>
      <c r="G64" s="23">
        <v>1000</v>
      </c>
      <c r="H64" s="47">
        <f t="shared" si="0"/>
        <v>4017.9000000000005</v>
      </c>
    </row>
    <row r="65" spans="1:9" x14ac:dyDescent="0.2">
      <c r="A65" s="88"/>
      <c r="B65" s="10"/>
      <c r="C65" s="78"/>
      <c r="D65" s="10"/>
      <c r="E65" s="11" t="s">
        <v>162</v>
      </c>
      <c r="F65" s="24"/>
      <c r="G65" s="23">
        <v>1200</v>
      </c>
      <c r="H65" s="47">
        <f t="shared" si="0"/>
        <v>2817.9000000000005</v>
      </c>
    </row>
    <row r="66" spans="1:9" x14ac:dyDescent="0.2">
      <c r="A66" s="88">
        <v>46079</v>
      </c>
      <c r="B66" s="18"/>
      <c r="C66" s="76"/>
      <c r="D66" s="18"/>
      <c r="E66" s="11" t="s">
        <v>163</v>
      </c>
      <c r="F66" s="24"/>
      <c r="G66" s="23">
        <v>144</v>
      </c>
      <c r="H66" s="47">
        <f t="shared" si="0"/>
        <v>2673.9000000000005</v>
      </c>
    </row>
    <row r="67" spans="1:9" x14ac:dyDescent="0.2">
      <c r="A67" s="88"/>
      <c r="B67" s="18"/>
      <c r="C67" s="76"/>
      <c r="D67" s="18"/>
      <c r="E67" s="12" t="s">
        <v>175</v>
      </c>
      <c r="F67" s="24"/>
      <c r="G67" s="23">
        <v>40</v>
      </c>
      <c r="H67" s="47">
        <f t="shared" si="0"/>
        <v>2633.9000000000005</v>
      </c>
    </row>
    <row r="68" spans="1:9" x14ac:dyDescent="0.2">
      <c r="A68" s="88"/>
      <c r="B68" s="18"/>
      <c r="C68" s="76"/>
      <c r="D68" s="18"/>
      <c r="E68" s="11" t="s">
        <v>164</v>
      </c>
      <c r="F68" s="24"/>
      <c r="G68" s="23">
        <v>186</v>
      </c>
      <c r="H68" s="47">
        <f t="shared" si="0"/>
        <v>2447.9000000000005</v>
      </c>
    </row>
    <row r="69" spans="1:9" x14ac:dyDescent="0.2">
      <c r="A69" s="88"/>
      <c r="B69" s="18"/>
      <c r="C69" s="76"/>
      <c r="D69" s="18"/>
      <c r="E69" s="11" t="s">
        <v>165</v>
      </c>
      <c r="F69" s="24"/>
      <c r="G69" s="23">
        <v>181</v>
      </c>
      <c r="H69" s="47">
        <f t="shared" ref="H69:H111" si="1">H68+F69-G69</f>
        <v>2266.9000000000005</v>
      </c>
    </row>
    <row r="70" spans="1:9" x14ac:dyDescent="0.2">
      <c r="A70" s="88">
        <v>46080</v>
      </c>
      <c r="B70" s="18"/>
      <c r="C70" s="76"/>
      <c r="D70" s="18"/>
      <c r="E70" s="11" t="s">
        <v>173</v>
      </c>
      <c r="F70" s="24"/>
      <c r="G70" s="23">
        <v>1265.96</v>
      </c>
      <c r="H70" s="47">
        <f t="shared" si="1"/>
        <v>1000.9400000000005</v>
      </c>
    </row>
    <row r="71" spans="1:9" x14ac:dyDescent="0.2">
      <c r="A71" s="88"/>
      <c r="B71" s="18"/>
      <c r="C71" s="76"/>
      <c r="D71" s="18"/>
      <c r="E71" s="11" t="s">
        <v>166</v>
      </c>
      <c r="F71" s="24"/>
      <c r="G71" s="23">
        <v>330</v>
      </c>
      <c r="H71" s="47">
        <f t="shared" si="1"/>
        <v>670.94000000000051</v>
      </c>
    </row>
    <row r="72" spans="1:9" x14ac:dyDescent="0.2">
      <c r="A72" s="88"/>
      <c r="B72" s="18"/>
      <c r="C72" s="76"/>
      <c r="D72" s="18"/>
      <c r="E72" s="11" t="s">
        <v>167</v>
      </c>
      <c r="F72" s="24"/>
      <c r="G72" s="23">
        <v>460</v>
      </c>
      <c r="H72" s="47">
        <f t="shared" si="1"/>
        <v>210.94000000000051</v>
      </c>
    </row>
    <row r="73" spans="1:9" ht="25.5" x14ac:dyDescent="0.2">
      <c r="A73" s="88">
        <v>46081</v>
      </c>
      <c r="B73" s="17" t="s">
        <v>120</v>
      </c>
      <c r="C73" s="76" t="s">
        <v>145</v>
      </c>
      <c r="D73" s="17" t="s">
        <v>120</v>
      </c>
      <c r="E73" s="11" t="s">
        <v>168</v>
      </c>
      <c r="F73" s="24">
        <v>5000</v>
      </c>
      <c r="G73" s="23">
        <v>2000</v>
      </c>
      <c r="H73" s="47">
        <f t="shared" si="1"/>
        <v>3210.9400000000005</v>
      </c>
    </row>
    <row r="74" spans="1:9" ht="15" customHeight="1" x14ac:dyDescent="0.2">
      <c r="A74" s="88"/>
      <c r="B74" s="18"/>
      <c r="C74" s="76"/>
      <c r="D74" s="18"/>
      <c r="E74" s="12" t="s">
        <v>169</v>
      </c>
      <c r="F74" s="24">
        <v>0</v>
      </c>
      <c r="G74" s="23">
        <v>420</v>
      </c>
      <c r="H74" s="47">
        <f t="shared" si="1"/>
        <v>2790.9400000000005</v>
      </c>
    </row>
    <row r="75" spans="1:9" ht="15" customHeight="1" x14ac:dyDescent="0.2">
      <c r="A75" s="88"/>
      <c r="B75" s="18"/>
      <c r="C75" s="76"/>
      <c r="D75" s="18"/>
      <c r="E75" s="11" t="s">
        <v>170</v>
      </c>
      <c r="F75" s="24"/>
      <c r="G75" s="23">
        <v>435</v>
      </c>
      <c r="H75" s="47">
        <f t="shared" si="1"/>
        <v>2355.9400000000005</v>
      </c>
    </row>
    <row r="76" spans="1:9" ht="15" customHeight="1" x14ac:dyDescent="0.2">
      <c r="A76" s="88"/>
      <c r="B76" s="18"/>
      <c r="C76" s="76"/>
      <c r="D76" s="18"/>
      <c r="E76" s="11" t="s">
        <v>171</v>
      </c>
      <c r="F76" s="24"/>
      <c r="G76" s="23">
        <v>150</v>
      </c>
      <c r="H76" s="47">
        <f t="shared" si="1"/>
        <v>2205.9400000000005</v>
      </c>
    </row>
    <row r="77" spans="1:9" ht="15.75" x14ac:dyDescent="0.2">
      <c r="A77" s="88"/>
      <c r="B77" s="18"/>
      <c r="C77" s="76"/>
      <c r="D77" s="18"/>
      <c r="E77" s="11" t="s">
        <v>172</v>
      </c>
      <c r="F77" s="26"/>
      <c r="G77" s="23">
        <v>78</v>
      </c>
      <c r="H77" s="47">
        <f t="shared" si="1"/>
        <v>2127.9400000000005</v>
      </c>
      <c r="I77" s="84" t="s">
        <v>9</v>
      </c>
    </row>
    <row r="78" spans="1:9" ht="16.5" thickBot="1" x14ac:dyDescent="0.25">
      <c r="A78" s="89"/>
      <c r="B78" s="51"/>
      <c r="C78" s="79"/>
      <c r="D78" s="51"/>
      <c r="E78" s="52" t="s">
        <v>180</v>
      </c>
      <c r="F78" s="75"/>
      <c r="G78" s="54">
        <v>700</v>
      </c>
      <c r="H78" s="55">
        <f t="shared" si="1"/>
        <v>1427.9400000000005</v>
      </c>
      <c r="I78" s="84"/>
    </row>
    <row r="79" spans="1:9" x14ac:dyDescent="0.2">
      <c r="A79" s="58"/>
      <c r="B79" s="59"/>
      <c r="C79" s="80"/>
      <c r="D79" s="59"/>
      <c r="E79" s="7"/>
      <c r="F79" s="60"/>
      <c r="G79" s="61"/>
      <c r="H79" s="60">
        <f t="shared" si="1"/>
        <v>1427.9400000000005</v>
      </c>
    </row>
    <row r="80" spans="1:9" x14ac:dyDescent="0.2">
      <c r="A80" s="20"/>
      <c r="B80" s="18"/>
      <c r="C80" s="76"/>
      <c r="D80" s="18"/>
      <c r="E80" s="11"/>
      <c r="F80" s="24"/>
      <c r="G80" s="23"/>
      <c r="H80" s="24">
        <f t="shared" si="1"/>
        <v>1427.9400000000005</v>
      </c>
    </row>
    <row r="81" spans="1:8" x14ac:dyDescent="0.2">
      <c r="A81" s="20"/>
      <c r="B81" s="18"/>
      <c r="C81" s="76"/>
      <c r="D81" s="18"/>
      <c r="E81" s="11"/>
      <c r="F81" s="24"/>
      <c r="G81" s="23"/>
      <c r="H81" s="24">
        <f t="shared" si="1"/>
        <v>1427.9400000000005</v>
      </c>
    </row>
    <row r="82" spans="1:8" x14ac:dyDescent="0.2">
      <c r="A82" s="20"/>
      <c r="B82" s="18"/>
      <c r="C82" s="76"/>
      <c r="D82" s="18"/>
      <c r="E82" s="11"/>
      <c r="F82" s="24"/>
      <c r="G82" s="23"/>
      <c r="H82" s="24">
        <f t="shared" si="1"/>
        <v>1427.9400000000005</v>
      </c>
    </row>
    <row r="83" spans="1:8" x14ac:dyDescent="0.2">
      <c r="A83" s="20"/>
      <c r="B83" s="18"/>
      <c r="C83" s="76"/>
      <c r="D83" s="18"/>
      <c r="E83" s="11"/>
      <c r="F83" s="24"/>
      <c r="G83" s="23"/>
      <c r="H83" s="24">
        <f t="shared" si="1"/>
        <v>1427.9400000000005</v>
      </c>
    </row>
    <row r="84" spans="1:8" x14ac:dyDescent="0.2">
      <c r="A84" s="20"/>
      <c r="B84" s="18"/>
      <c r="C84" s="76"/>
      <c r="D84" s="18"/>
      <c r="E84" s="11"/>
      <c r="F84" s="24"/>
      <c r="G84" s="23"/>
      <c r="H84" s="24">
        <f t="shared" si="1"/>
        <v>1427.9400000000005</v>
      </c>
    </row>
    <row r="85" spans="1:8" x14ac:dyDescent="0.2">
      <c r="A85" s="20"/>
      <c r="B85" s="18"/>
      <c r="C85" s="76"/>
      <c r="D85" s="18"/>
      <c r="E85" s="11"/>
      <c r="F85" s="24"/>
      <c r="G85" s="23"/>
      <c r="H85" s="24">
        <f t="shared" si="1"/>
        <v>1427.9400000000005</v>
      </c>
    </row>
    <row r="86" spans="1:8" x14ac:dyDescent="0.2">
      <c r="A86" s="20"/>
      <c r="B86" s="18"/>
      <c r="C86" s="76"/>
      <c r="D86" s="18"/>
      <c r="E86" s="11"/>
      <c r="F86" s="24"/>
      <c r="G86" s="23"/>
      <c r="H86" s="24">
        <f t="shared" si="1"/>
        <v>1427.9400000000005</v>
      </c>
    </row>
    <row r="87" spans="1:8" x14ac:dyDescent="0.2">
      <c r="A87" s="20"/>
      <c r="B87" s="18"/>
      <c r="C87" s="76"/>
      <c r="D87" s="18"/>
      <c r="E87" s="11"/>
      <c r="F87" s="24"/>
      <c r="G87" s="23"/>
      <c r="H87" s="24">
        <f t="shared" si="1"/>
        <v>1427.9400000000005</v>
      </c>
    </row>
    <row r="88" spans="1:8" x14ac:dyDescent="0.2">
      <c r="A88" s="20"/>
      <c r="B88" s="18"/>
      <c r="C88" s="76"/>
      <c r="D88" s="18"/>
      <c r="E88" s="11"/>
      <c r="F88" s="24"/>
      <c r="G88" s="23"/>
      <c r="H88" s="24">
        <f t="shared" si="1"/>
        <v>1427.9400000000005</v>
      </c>
    </row>
    <row r="89" spans="1:8" x14ac:dyDescent="0.2">
      <c r="A89" s="20"/>
      <c r="B89" s="18"/>
      <c r="C89" s="76"/>
      <c r="D89" s="18"/>
      <c r="E89" s="11"/>
      <c r="F89" s="24"/>
      <c r="G89" s="23"/>
      <c r="H89" s="24">
        <f t="shared" si="1"/>
        <v>1427.9400000000005</v>
      </c>
    </row>
    <row r="90" spans="1:8" x14ac:dyDescent="0.2">
      <c r="A90" s="20"/>
      <c r="B90" s="18"/>
      <c r="C90" s="76"/>
      <c r="D90" s="18"/>
      <c r="E90" s="11"/>
      <c r="F90" s="24"/>
      <c r="G90" s="23"/>
      <c r="H90" s="24">
        <f t="shared" si="1"/>
        <v>1427.9400000000005</v>
      </c>
    </row>
    <row r="91" spans="1:8" x14ac:dyDescent="0.2">
      <c r="A91" s="20"/>
      <c r="B91" s="18"/>
      <c r="C91" s="76"/>
      <c r="D91" s="18"/>
      <c r="E91" s="11"/>
      <c r="F91" s="24"/>
      <c r="G91" s="23"/>
      <c r="H91" s="24">
        <f t="shared" si="1"/>
        <v>1427.9400000000005</v>
      </c>
    </row>
    <row r="92" spans="1:8" x14ac:dyDescent="0.2">
      <c r="A92" s="20"/>
      <c r="B92" s="18"/>
      <c r="C92" s="76"/>
      <c r="D92" s="18"/>
      <c r="E92" s="11"/>
      <c r="F92" s="24"/>
      <c r="G92" s="23"/>
      <c r="H92" s="24">
        <f t="shared" si="1"/>
        <v>1427.9400000000005</v>
      </c>
    </row>
    <row r="93" spans="1:8" x14ac:dyDescent="0.2">
      <c r="A93" s="20"/>
      <c r="B93" s="18"/>
      <c r="C93" s="76"/>
      <c r="D93" s="18"/>
      <c r="E93" s="11"/>
      <c r="F93" s="24"/>
      <c r="G93" s="23"/>
      <c r="H93" s="24">
        <f t="shared" si="1"/>
        <v>1427.9400000000005</v>
      </c>
    </row>
    <row r="94" spans="1:8" x14ac:dyDescent="0.2">
      <c r="A94" s="20"/>
      <c r="B94" s="18"/>
      <c r="C94" s="76"/>
      <c r="D94" s="18"/>
      <c r="E94" s="11"/>
      <c r="F94" s="24"/>
      <c r="G94" s="23"/>
      <c r="H94" s="24">
        <f t="shared" si="1"/>
        <v>1427.9400000000005</v>
      </c>
    </row>
    <row r="95" spans="1:8" x14ac:dyDescent="0.2">
      <c r="A95" s="20"/>
      <c r="B95" s="18"/>
      <c r="C95" s="76"/>
      <c r="D95" s="18"/>
      <c r="E95" s="11"/>
      <c r="F95" s="24"/>
      <c r="G95" s="23"/>
      <c r="H95" s="24">
        <f t="shared" si="1"/>
        <v>1427.9400000000005</v>
      </c>
    </row>
    <row r="96" spans="1:8" x14ac:dyDescent="0.2">
      <c r="A96" s="20"/>
      <c r="B96" s="18"/>
      <c r="C96" s="76"/>
      <c r="D96" s="18"/>
      <c r="E96" s="11"/>
      <c r="F96" s="24"/>
      <c r="G96" s="23"/>
      <c r="H96" s="24">
        <f t="shared" si="1"/>
        <v>1427.9400000000005</v>
      </c>
    </row>
    <row r="97" spans="1:8" x14ac:dyDescent="0.2">
      <c r="A97" s="20"/>
      <c r="B97" s="18"/>
      <c r="C97" s="76"/>
      <c r="D97" s="18"/>
      <c r="E97" s="11"/>
      <c r="F97" s="24"/>
      <c r="G97" s="23"/>
      <c r="H97" s="24">
        <f t="shared" si="1"/>
        <v>1427.9400000000005</v>
      </c>
    </row>
    <row r="98" spans="1:8" x14ac:dyDescent="0.2">
      <c r="A98" s="20"/>
      <c r="B98" s="18"/>
      <c r="C98" s="76"/>
      <c r="D98" s="18"/>
      <c r="E98" s="11"/>
      <c r="F98" s="24"/>
      <c r="G98" s="23"/>
      <c r="H98" s="24">
        <f t="shared" si="1"/>
        <v>1427.9400000000005</v>
      </c>
    </row>
    <row r="99" spans="1:8" x14ac:dyDescent="0.2">
      <c r="A99" s="20"/>
      <c r="B99" s="18"/>
      <c r="C99" s="76"/>
      <c r="D99" s="18"/>
      <c r="E99" s="11"/>
      <c r="F99" s="24"/>
      <c r="G99" s="23"/>
      <c r="H99" s="24">
        <f t="shared" si="1"/>
        <v>1427.9400000000005</v>
      </c>
    </row>
    <row r="100" spans="1:8" x14ac:dyDescent="0.2">
      <c r="A100" s="20"/>
      <c r="B100" s="18"/>
      <c r="C100" s="76"/>
      <c r="D100" s="18"/>
      <c r="E100" s="11"/>
      <c r="F100" s="24"/>
      <c r="G100" s="23"/>
      <c r="H100" s="24">
        <f t="shared" si="1"/>
        <v>1427.9400000000005</v>
      </c>
    </row>
    <row r="101" spans="1:8" x14ac:dyDescent="0.2">
      <c r="A101" s="20"/>
      <c r="B101" s="18"/>
      <c r="C101" s="76"/>
      <c r="D101" s="18"/>
      <c r="E101" s="11"/>
      <c r="F101" s="24"/>
      <c r="G101" s="23"/>
      <c r="H101" s="24">
        <f t="shared" si="1"/>
        <v>1427.9400000000005</v>
      </c>
    </row>
    <row r="102" spans="1:8" x14ac:dyDescent="0.2">
      <c r="A102" s="20"/>
      <c r="B102" s="18"/>
      <c r="C102" s="76"/>
      <c r="D102" s="18"/>
      <c r="E102" s="11"/>
      <c r="F102" s="24"/>
      <c r="G102" s="23"/>
      <c r="H102" s="24">
        <f t="shared" si="1"/>
        <v>1427.9400000000005</v>
      </c>
    </row>
    <row r="103" spans="1:8" x14ac:dyDescent="0.2">
      <c r="A103" s="20"/>
      <c r="B103" s="18"/>
      <c r="C103" s="76"/>
      <c r="D103" s="18"/>
      <c r="E103" s="11"/>
      <c r="F103" s="24"/>
      <c r="G103" s="23"/>
      <c r="H103" s="24">
        <f t="shared" si="1"/>
        <v>1427.9400000000005</v>
      </c>
    </row>
    <row r="104" spans="1:8" x14ac:dyDescent="0.2">
      <c r="A104" s="20"/>
      <c r="B104" s="18"/>
      <c r="C104" s="76"/>
      <c r="D104" s="18"/>
      <c r="E104" s="11"/>
      <c r="F104" s="24"/>
      <c r="G104" s="23"/>
      <c r="H104" s="24">
        <f t="shared" si="1"/>
        <v>1427.9400000000005</v>
      </c>
    </row>
    <row r="105" spans="1:8" x14ac:dyDescent="0.2">
      <c r="A105" s="20"/>
      <c r="B105" s="18"/>
      <c r="C105" s="76"/>
      <c r="D105" s="18"/>
      <c r="E105" s="11"/>
      <c r="F105" s="24"/>
      <c r="G105" s="23"/>
      <c r="H105" s="24">
        <f t="shared" si="1"/>
        <v>1427.9400000000005</v>
      </c>
    </row>
    <row r="106" spans="1:8" x14ac:dyDescent="0.2">
      <c r="A106" s="20"/>
      <c r="B106" s="18"/>
      <c r="C106" s="76"/>
      <c r="D106" s="18"/>
      <c r="E106" s="11"/>
      <c r="F106" s="24"/>
      <c r="G106" s="23"/>
      <c r="H106" s="24">
        <f t="shared" si="1"/>
        <v>1427.9400000000005</v>
      </c>
    </row>
    <row r="107" spans="1:8" x14ac:dyDescent="0.2">
      <c r="A107" s="20"/>
      <c r="B107" s="18"/>
      <c r="C107" s="76"/>
      <c r="D107" s="18"/>
      <c r="E107" s="11"/>
      <c r="F107" s="24"/>
      <c r="G107" s="23"/>
      <c r="H107" s="24">
        <f t="shared" si="1"/>
        <v>1427.9400000000005</v>
      </c>
    </row>
    <row r="108" spans="1:8" x14ac:dyDescent="0.2">
      <c r="A108" s="20"/>
      <c r="B108" s="18"/>
      <c r="C108" s="76"/>
      <c r="D108" s="18"/>
      <c r="E108" s="11"/>
      <c r="F108" s="24"/>
      <c r="G108" s="23"/>
      <c r="H108" s="24">
        <f t="shared" si="1"/>
        <v>1427.9400000000005</v>
      </c>
    </row>
    <row r="109" spans="1:8" x14ac:dyDescent="0.2">
      <c r="A109" s="21"/>
      <c r="B109" s="18"/>
      <c r="C109" s="76"/>
      <c r="D109" s="18"/>
      <c r="E109" s="11"/>
      <c r="F109" s="24"/>
      <c r="G109" s="23"/>
      <c r="H109" s="24">
        <f t="shared" si="1"/>
        <v>1427.9400000000005</v>
      </c>
    </row>
    <row r="110" spans="1:8" x14ac:dyDescent="0.2">
      <c r="A110" s="21"/>
      <c r="B110" s="18"/>
      <c r="C110" s="76"/>
      <c r="D110" s="18"/>
      <c r="E110" s="11"/>
      <c r="F110" s="24"/>
      <c r="G110" s="23"/>
      <c r="H110" s="24">
        <f t="shared" si="1"/>
        <v>1427.9400000000005</v>
      </c>
    </row>
    <row r="111" spans="1:8" x14ac:dyDescent="0.2">
      <c r="A111" s="21"/>
      <c r="B111" s="18"/>
      <c r="C111" s="76"/>
      <c r="D111" s="18"/>
      <c r="E111" s="11"/>
      <c r="F111" s="24"/>
      <c r="G111" s="23"/>
      <c r="H111" s="24">
        <f t="shared" si="1"/>
        <v>1427.9400000000005</v>
      </c>
    </row>
  </sheetData>
  <mergeCells count="21">
    <mergeCell ref="A1:H1"/>
    <mergeCell ref="I77:I78"/>
    <mergeCell ref="A6:A9"/>
    <mergeCell ref="A10:A14"/>
    <mergeCell ref="A15:A16"/>
    <mergeCell ref="A17:A18"/>
    <mergeCell ref="A19:A26"/>
    <mergeCell ref="A27:A29"/>
    <mergeCell ref="A30:A33"/>
    <mergeCell ref="A34:A37"/>
    <mergeCell ref="A38:A40"/>
    <mergeCell ref="A42:A44"/>
    <mergeCell ref="A46:A47"/>
    <mergeCell ref="A48:A51"/>
    <mergeCell ref="A52:A54"/>
    <mergeCell ref="A55:A58"/>
    <mergeCell ref="A66:A69"/>
    <mergeCell ref="A70:A72"/>
    <mergeCell ref="A59:A63"/>
    <mergeCell ref="A64:A65"/>
    <mergeCell ref="A73:A78"/>
  </mergeCells>
  <pageMargins left="0.7" right="0.7" top="0.75" bottom="0.75" header="0.3" footer="0.3"/>
  <pageSetup paperSize="9" scale="63" fitToHeight="0" orientation="landscape" r:id="rId1"/>
  <colBreaks count="1" manualBreakCount="1">
    <brk id="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234F9-534B-47E0-BB07-A9E4C058E69A}">
  <dimension ref="A1:I111"/>
  <sheetViews>
    <sheetView topLeftCell="A48" workbookViewId="0">
      <selection activeCell="E70" sqref="E70"/>
    </sheetView>
  </sheetViews>
  <sheetFormatPr defaultColWidth="8.85546875" defaultRowHeight="12.75" x14ac:dyDescent="0.2"/>
  <cols>
    <col min="1" max="1" width="9.28515625" style="19" bestFit="1" customWidth="1"/>
    <col min="2" max="2" width="14.7109375" style="16" customWidth="1"/>
    <col min="3" max="3" width="16" style="81" bestFit="1" customWidth="1"/>
    <col min="4" max="4" width="19.140625" style="1" customWidth="1"/>
    <col min="5" max="5" width="114.28515625" style="1" customWidth="1"/>
    <col min="6" max="6" width="10.5703125" style="1" bestFit="1" customWidth="1"/>
    <col min="7" max="7" width="10.140625" style="1" bestFit="1" customWidth="1"/>
    <col min="8" max="8" width="11.42578125" style="1" bestFit="1" customWidth="1"/>
    <col min="9" max="9" width="34.42578125" style="1" bestFit="1" customWidth="1"/>
    <col min="10" max="16384" width="8.85546875" style="1"/>
  </cols>
  <sheetData>
    <row r="1" spans="1:8" ht="30" customHeight="1" x14ac:dyDescent="0.2">
      <c r="A1" s="94" t="s">
        <v>178</v>
      </c>
      <c r="B1" s="95"/>
      <c r="C1" s="95"/>
      <c r="D1" s="95"/>
      <c r="E1" s="95"/>
      <c r="F1" s="95"/>
      <c r="G1" s="95"/>
      <c r="H1" s="96"/>
    </row>
    <row r="2" spans="1:8" x14ac:dyDescent="0.2">
      <c r="A2" s="69"/>
      <c r="B2" s="25"/>
      <c r="C2" s="77"/>
      <c r="D2" s="11"/>
      <c r="E2" s="11"/>
      <c r="F2" s="62" t="s">
        <v>0</v>
      </c>
      <c r="G2" s="62" t="s">
        <v>1</v>
      </c>
      <c r="H2" s="70" t="s">
        <v>2</v>
      </c>
    </row>
    <row r="3" spans="1:8" s="22" customFormat="1" x14ac:dyDescent="0.2">
      <c r="A3" s="71" t="s">
        <v>8</v>
      </c>
      <c r="B3" s="63" t="s">
        <v>3</v>
      </c>
      <c r="C3" s="63" t="s">
        <v>4</v>
      </c>
      <c r="D3" s="63" t="s">
        <v>5</v>
      </c>
      <c r="E3" s="63" t="s">
        <v>6</v>
      </c>
      <c r="F3" s="64">
        <f>SUM(F4:F267)</f>
        <v>31433</v>
      </c>
      <c r="G3" s="65">
        <f>SUM(G4:G267)</f>
        <v>25906</v>
      </c>
      <c r="H3" s="72">
        <f>+F3-G3</f>
        <v>5527</v>
      </c>
    </row>
    <row r="4" spans="1:8" x14ac:dyDescent="0.2">
      <c r="A4" s="49"/>
      <c r="B4" s="10"/>
      <c r="C4" s="78"/>
      <c r="D4" s="10"/>
      <c r="E4" s="11"/>
      <c r="F4" s="66"/>
      <c r="G4" s="67"/>
      <c r="H4" s="73"/>
    </row>
    <row r="5" spans="1:8" s="15" customFormat="1" x14ac:dyDescent="0.25">
      <c r="A5" s="44">
        <v>46082</v>
      </c>
      <c r="B5" s="17" t="s">
        <v>9</v>
      </c>
      <c r="C5" s="76" t="s">
        <v>9</v>
      </c>
      <c r="D5" s="17" t="s">
        <v>9</v>
      </c>
      <c r="E5" s="12" t="s">
        <v>108</v>
      </c>
      <c r="F5" s="13">
        <v>1427</v>
      </c>
      <c r="G5" s="14">
        <v>0</v>
      </c>
      <c r="H5" s="45">
        <f t="shared" ref="H5:H68" si="0">H4+F5-G5</f>
        <v>1427</v>
      </c>
    </row>
    <row r="6" spans="1:8" s="15" customFormat="1" x14ac:dyDescent="0.25">
      <c r="A6" s="44">
        <v>46083</v>
      </c>
      <c r="B6" s="17"/>
      <c r="C6" s="76"/>
      <c r="D6" s="17"/>
      <c r="E6" s="12" t="s">
        <v>194</v>
      </c>
      <c r="F6" s="13"/>
      <c r="G6" s="23">
        <v>736</v>
      </c>
      <c r="H6" s="47">
        <f t="shared" si="0"/>
        <v>691</v>
      </c>
    </row>
    <row r="7" spans="1:8" s="15" customFormat="1" x14ac:dyDescent="0.25">
      <c r="A7" s="85">
        <v>46084</v>
      </c>
      <c r="B7" s="17"/>
      <c r="C7" s="76"/>
      <c r="D7" s="17"/>
      <c r="E7" s="12" t="s">
        <v>179</v>
      </c>
      <c r="F7" s="24"/>
      <c r="G7" s="23">
        <v>100</v>
      </c>
      <c r="H7" s="47">
        <f t="shared" si="0"/>
        <v>591</v>
      </c>
    </row>
    <row r="8" spans="1:8" s="15" customFormat="1" x14ac:dyDescent="0.25">
      <c r="A8" s="86"/>
      <c r="B8" s="17"/>
      <c r="C8" s="76"/>
      <c r="D8" s="17"/>
      <c r="E8" s="12" t="s">
        <v>181</v>
      </c>
      <c r="F8" s="24"/>
      <c r="G8" s="23">
        <v>450</v>
      </c>
      <c r="H8" s="47">
        <f t="shared" si="0"/>
        <v>141</v>
      </c>
    </row>
    <row r="9" spans="1:8" s="15" customFormat="1" ht="38.25" x14ac:dyDescent="0.25">
      <c r="A9" s="86"/>
      <c r="B9" s="17" t="s">
        <v>121</v>
      </c>
      <c r="C9" s="76" t="s">
        <v>25</v>
      </c>
      <c r="D9" s="17" t="s">
        <v>120</v>
      </c>
      <c r="E9" s="12" t="s">
        <v>183</v>
      </c>
      <c r="F9" s="24">
        <v>5000</v>
      </c>
      <c r="G9" s="23">
        <v>2500</v>
      </c>
      <c r="H9" s="47">
        <f t="shared" si="0"/>
        <v>2641</v>
      </c>
    </row>
    <row r="10" spans="1:8" s="15" customFormat="1" x14ac:dyDescent="0.2">
      <c r="A10" s="87"/>
      <c r="B10" s="18"/>
      <c r="C10" s="76"/>
      <c r="D10" s="17"/>
      <c r="E10" s="12" t="s">
        <v>182</v>
      </c>
      <c r="F10" s="24"/>
      <c r="G10" s="23">
        <v>150</v>
      </c>
      <c r="H10" s="47">
        <f t="shared" si="0"/>
        <v>2491</v>
      </c>
    </row>
    <row r="11" spans="1:8" s="15" customFormat="1" x14ac:dyDescent="0.25">
      <c r="A11" s="82">
        <v>46086</v>
      </c>
      <c r="B11" s="17"/>
      <c r="C11" s="76"/>
      <c r="D11" s="17"/>
      <c r="E11" s="12" t="s">
        <v>184</v>
      </c>
      <c r="F11" s="24"/>
      <c r="G11" s="23">
        <v>1201</v>
      </c>
      <c r="H11" s="47">
        <f t="shared" si="0"/>
        <v>1290</v>
      </c>
    </row>
    <row r="12" spans="1:8" s="15" customFormat="1" x14ac:dyDescent="0.25">
      <c r="A12" s="82">
        <v>46087</v>
      </c>
      <c r="B12" s="17"/>
      <c r="C12" s="76"/>
      <c r="D12" s="17"/>
      <c r="E12" s="12" t="s">
        <v>186</v>
      </c>
      <c r="F12" s="24"/>
      <c r="G12" s="23">
        <v>680</v>
      </c>
      <c r="H12" s="47">
        <f t="shared" si="0"/>
        <v>610</v>
      </c>
    </row>
    <row r="13" spans="1:8" s="15" customFormat="1" x14ac:dyDescent="0.2">
      <c r="A13" s="82">
        <v>46087</v>
      </c>
      <c r="B13" s="18"/>
      <c r="C13" s="76"/>
      <c r="D13" s="17"/>
      <c r="E13" s="12" t="s">
        <v>185</v>
      </c>
      <c r="F13" s="24"/>
      <c r="G13" s="23">
        <v>500</v>
      </c>
      <c r="H13" s="47">
        <f t="shared" si="0"/>
        <v>110</v>
      </c>
    </row>
    <row r="14" spans="1:8" s="15" customFormat="1" ht="38.25" x14ac:dyDescent="0.25">
      <c r="A14" s="85">
        <v>46088</v>
      </c>
      <c r="B14" s="17" t="s">
        <v>121</v>
      </c>
      <c r="C14" s="76" t="s">
        <v>25</v>
      </c>
      <c r="D14" s="17" t="s">
        <v>120</v>
      </c>
      <c r="E14" s="12" t="s">
        <v>187</v>
      </c>
      <c r="F14" s="24">
        <v>7000</v>
      </c>
      <c r="G14" s="23">
        <v>200</v>
      </c>
      <c r="H14" s="47">
        <f t="shared" si="0"/>
        <v>6910</v>
      </c>
    </row>
    <row r="15" spans="1:8" s="15" customFormat="1" x14ac:dyDescent="0.25">
      <c r="A15" s="86"/>
      <c r="B15" s="17"/>
      <c r="C15" s="76"/>
      <c r="D15" s="17"/>
      <c r="E15" s="12" t="s">
        <v>188</v>
      </c>
      <c r="F15" s="24"/>
      <c r="G15" s="23">
        <v>80</v>
      </c>
      <c r="H15" s="47">
        <f t="shared" si="0"/>
        <v>6830</v>
      </c>
    </row>
    <row r="16" spans="1:8" s="15" customFormat="1" x14ac:dyDescent="0.25">
      <c r="A16" s="86"/>
      <c r="B16" s="17"/>
      <c r="C16" s="76"/>
      <c r="D16" s="17"/>
      <c r="E16" s="12" t="s">
        <v>189</v>
      </c>
      <c r="F16" s="24"/>
      <c r="G16" s="23">
        <v>300</v>
      </c>
      <c r="H16" s="47">
        <f t="shared" si="0"/>
        <v>6530</v>
      </c>
    </row>
    <row r="17" spans="1:8" s="15" customFormat="1" x14ac:dyDescent="0.25">
      <c r="A17" s="86"/>
      <c r="B17" s="17"/>
      <c r="C17" s="76"/>
      <c r="D17" s="17"/>
      <c r="E17" s="12" t="s">
        <v>190</v>
      </c>
      <c r="F17" s="24"/>
      <c r="G17" s="23">
        <v>900</v>
      </c>
      <c r="H17" s="47">
        <f t="shared" si="0"/>
        <v>5630</v>
      </c>
    </row>
    <row r="18" spans="1:8" s="15" customFormat="1" x14ac:dyDescent="0.25">
      <c r="A18" s="87"/>
      <c r="B18" s="17"/>
      <c r="C18" s="76"/>
      <c r="D18" s="17"/>
      <c r="E18" s="12" t="s">
        <v>191</v>
      </c>
      <c r="F18" s="24"/>
      <c r="G18" s="23">
        <v>1200</v>
      </c>
      <c r="H18" s="47">
        <f t="shared" si="0"/>
        <v>4430</v>
      </c>
    </row>
    <row r="19" spans="1:8" s="15" customFormat="1" x14ac:dyDescent="0.25">
      <c r="A19" s="82">
        <v>46091</v>
      </c>
      <c r="B19" s="17"/>
      <c r="C19" s="76"/>
      <c r="D19" s="17"/>
      <c r="E19" s="12" t="s">
        <v>192</v>
      </c>
      <c r="F19" s="24"/>
      <c r="G19" s="23">
        <v>150</v>
      </c>
      <c r="H19" s="47">
        <f t="shared" si="0"/>
        <v>4280</v>
      </c>
    </row>
    <row r="20" spans="1:8" s="15" customFormat="1" x14ac:dyDescent="0.25">
      <c r="A20" s="85">
        <v>46092</v>
      </c>
      <c r="B20" s="17"/>
      <c r="C20" s="76"/>
      <c r="D20" s="17"/>
      <c r="E20" s="12" t="s">
        <v>193</v>
      </c>
      <c r="F20" s="24"/>
      <c r="G20" s="23">
        <v>736</v>
      </c>
      <c r="H20" s="47">
        <f t="shared" si="0"/>
        <v>3544</v>
      </c>
    </row>
    <row r="21" spans="1:8" s="15" customFormat="1" x14ac:dyDescent="0.25">
      <c r="A21" s="86"/>
      <c r="B21" s="17"/>
      <c r="C21" s="76"/>
      <c r="D21" s="17"/>
      <c r="E21" s="12" t="s">
        <v>226</v>
      </c>
      <c r="F21" s="24"/>
      <c r="G21" s="23">
        <v>40</v>
      </c>
      <c r="H21" s="47">
        <f t="shared" si="0"/>
        <v>3504</v>
      </c>
    </row>
    <row r="22" spans="1:8" s="15" customFormat="1" x14ac:dyDescent="0.25">
      <c r="A22" s="86"/>
      <c r="B22" s="17"/>
      <c r="C22" s="76"/>
      <c r="D22" s="17"/>
      <c r="E22" s="12" t="s">
        <v>195</v>
      </c>
      <c r="F22" s="24"/>
      <c r="G22" s="23">
        <v>600</v>
      </c>
      <c r="H22" s="47">
        <f t="shared" si="0"/>
        <v>2904</v>
      </c>
    </row>
    <row r="23" spans="1:8" s="15" customFormat="1" x14ac:dyDescent="0.25">
      <c r="A23" s="87"/>
      <c r="B23" s="17"/>
      <c r="C23" s="76"/>
      <c r="D23" s="17"/>
      <c r="E23" s="12" t="s">
        <v>196</v>
      </c>
      <c r="F23" s="24"/>
      <c r="G23" s="23">
        <v>110</v>
      </c>
      <c r="H23" s="47">
        <f t="shared" si="0"/>
        <v>2794</v>
      </c>
    </row>
    <row r="24" spans="1:8" s="15" customFormat="1" ht="38.25" x14ac:dyDescent="0.25">
      <c r="A24" s="82">
        <v>46093</v>
      </c>
      <c r="B24" s="17" t="s">
        <v>121</v>
      </c>
      <c r="C24" s="76" t="s">
        <v>25</v>
      </c>
      <c r="D24" s="17" t="s">
        <v>120</v>
      </c>
      <c r="E24" s="12" t="s">
        <v>197</v>
      </c>
      <c r="F24" s="24">
        <v>8000</v>
      </c>
      <c r="G24" s="23">
        <v>790</v>
      </c>
      <c r="H24" s="47">
        <f t="shared" si="0"/>
        <v>10004</v>
      </c>
    </row>
    <row r="25" spans="1:8" s="15" customFormat="1" x14ac:dyDescent="0.25">
      <c r="A25" s="85">
        <v>46094</v>
      </c>
      <c r="B25" s="17"/>
      <c r="C25" s="76"/>
      <c r="D25" s="17"/>
      <c r="E25" s="12" t="s">
        <v>198</v>
      </c>
      <c r="F25" s="24"/>
      <c r="G25" s="23">
        <v>350</v>
      </c>
      <c r="H25" s="47">
        <f t="shared" si="0"/>
        <v>9654</v>
      </c>
    </row>
    <row r="26" spans="1:8" s="15" customFormat="1" x14ac:dyDescent="0.25">
      <c r="A26" s="86"/>
      <c r="B26" s="17"/>
      <c r="C26" s="76"/>
      <c r="D26" s="17"/>
      <c r="E26" s="12" t="s">
        <v>199</v>
      </c>
      <c r="F26" s="24"/>
      <c r="G26" s="23">
        <v>490</v>
      </c>
      <c r="H26" s="47">
        <f t="shared" si="0"/>
        <v>9164</v>
      </c>
    </row>
    <row r="27" spans="1:8" s="15" customFormat="1" x14ac:dyDescent="0.25">
      <c r="A27" s="86"/>
      <c r="B27" s="17"/>
      <c r="C27" s="76"/>
      <c r="D27" s="17"/>
      <c r="E27" s="12" t="s">
        <v>200</v>
      </c>
      <c r="F27" s="24"/>
      <c r="G27" s="23">
        <v>360</v>
      </c>
      <c r="H27" s="47">
        <f t="shared" si="0"/>
        <v>8804</v>
      </c>
    </row>
    <row r="28" spans="1:8" s="15" customFormat="1" x14ac:dyDescent="0.25">
      <c r="A28" s="86"/>
      <c r="B28" s="17"/>
      <c r="C28" s="76"/>
      <c r="D28" s="17"/>
      <c r="E28" s="56" t="s">
        <v>201</v>
      </c>
      <c r="F28" s="24"/>
      <c r="G28" s="23">
        <v>500</v>
      </c>
      <c r="H28" s="47">
        <f t="shared" si="0"/>
        <v>8304</v>
      </c>
    </row>
    <row r="29" spans="1:8" s="15" customFormat="1" x14ac:dyDescent="0.25">
      <c r="A29" s="86"/>
      <c r="B29" s="17"/>
      <c r="C29" s="76"/>
      <c r="D29" s="17"/>
      <c r="E29" s="12" t="s">
        <v>202</v>
      </c>
      <c r="F29" s="24"/>
      <c r="G29" s="23">
        <v>500</v>
      </c>
      <c r="H29" s="47">
        <f t="shared" si="0"/>
        <v>7804</v>
      </c>
    </row>
    <row r="30" spans="1:8" s="15" customFormat="1" x14ac:dyDescent="0.2">
      <c r="A30" s="86"/>
      <c r="B30" s="18"/>
      <c r="C30" s="76"/>
      <c r="D30" s="17"/>
      <c r="E30" s="12" t="s">
        <v>203</v>
      </c>
      <c r="F30" s="24"/>
      <c r="G30" s="23">
        <v>320</v>
      </c>
      <c r="H30" s="47">
        <f t="shared" si="0"/>
        <v>7484</v>
      </c>
    </row>
    <row r="31" spans="1:8" s="15" customFormat="1" x14ac:dyDescent="0.25">
      <c r="A31" s="86"/>
      <c r="B31" s="17"/>
      <c r="C31" s="76"/>
      <c r="D31" s="17"/>
      <c r="E31" s="12" t="s">
        <v>204</v>
      </c>
      <c r="F31" s="24"/>
      <c r="G31" s="23">
        <v>170</v>
      </c>
      <c r="H31" s="47">
        <f t="shared" si="0"/>
        <v>7314</v>
      </c>
    </row>
    <row r="32" spans="1:8" s="15" customFormat="1" x14ac:dyDescent="0.25">
      <c r="A32" s="86"/>
      <c r="B32" s="17"/>
      <c r="C32" s="76"/>
      <c r="D32" s="17"/>
      <c r="E32" s="12" t="s">
        <v>205</v>
      </c>
      <c r="F32" s="24"/>
      <c r="G32" s="23">
        <v>100</v>
      </c>
      <c r="H32" s="47">
        <f t="shared" si="0"/>
        <v>7214</v>
      </c>
    </row>
    <row r="33" spans="1:8" s="15" customFormat="1" x14ac:dyDescent="0.25">
      <c r="A33" s="86"/>
      <c r="B33" s="17"/>
      <c r="C33" s="76"/>
      <c r="D33" s="17"/>
      <c r="E33" s="12" t="s">
        <v>206</v>
      </c>
      <c r="F33" s="24"/>
      <c r="G33" s="23">
        <v>75</v>
      </c>
      <c r="H33" s="47">
        <f t="shared" si="0"/>
        <v>7139</v>
      </c>
    </row>
    <row r="34" spans="1:8" s="15" customFormat="1" x14ac:dyDescent="0.25">
      <c r="A34" s="87"/>
      <c r="B34" s="17"/>
      <c r="C34" s="76"/>
      <c r="D34" s="17"/>
      <c r="E34" s="12" t="s">
        <v>207</v>
      </c>
      <c r="F34" s="24"/>
      <c r="G34" s="23">
        <v>150</v>
      </c>
      <c r="H34" s="47">
        <f t="shared" si="0"/>
        <v>6989</v>
      </c>
    </row>
    <row r="35" spans="1:8" s="15" customFormat="1" x14ac:dyDescent="0.25">
      <c r="A35" s="85">
        <v>46095</v>
      </c>
      <c r="B35" s="17"/>
      <c r="C35" s="76"/>
      <c r="D35" s="17"/>
      <c r="E35" s="12" t="s">
        <v>208</v>
      </c>
      <c r="F35" s="24"/>
      <c r="G35" s="23">
        <v>499</v>
      </c>
      <c r="H35" s="47">
        <f t="shared" si="0"/>
        <v>6490</v>
      </c>
    </row>
    <row r="36" spans="1:8" s="15" customFormat="1" x14ac:dyDescent="0.25">
      <c r="A36" s="86"/>
      <c r="B36" s="17"/>
      <c r="C36" s="76"/>
      <c r="D36" s="17"/>
      <c r="E36" s="12" t="s">
        <v>209</v>
      </c>
      <c r="F36" s="24"/>
      <c r="G36" s="23">
        <v>70</v>
      </c>
      <c r="H36" s="47">
        <f t="shared" si="0"/>
        <v>6420</v>
      </c>
    </row>
    <row r="37" spans="1:8" s="15" customFormat="1" x14ac:dyDescent="0.25">
      <c r="A37" s="86"/>
      <c r="B37" s="17"/>
      <c r="C37" s="76"/>
      <c r="D37" s="17"/>
      <c r="E37" s="12" t="s">
        <v>210</v>
      </c>
      <c r="F37" s="24"/>
      <c r="G37" s="23">
        <v>300</v>
      </c>
      <c r="H37" s="47">
        <f t="shared" si="0"/>
        <v>6120</v>
      </c>
    </row>
    <row r="38" spans="1:8" s="15" customFormat="1" x14ac:dyDescent="0.25">
      <c r="A38" s="87"/>
      <c r="B38" s="17"/>
      <c r="C38" s="76"/>
      <c r="D38" s="17"/>
      <c r="E38" s="12" t="s">
        <v>211</v>
      </c>
      <c r="F38" s="24"/>
      <c r="G38" s="23">
        <v>80</v>
      </c>
      <c r="H38" s="47">
        <f t="shared" si="0"/>
        <v>6040</v>
      </c>
    </row>
    <row r="39" spans="1:8" x14ac:dyDescent="0.2">
      <c r="A39" s="85">
        <v>46097</v>
      </c>
      <c r="B39" s="25"/>
      <c r="C39" s="77"/>
      <c r="D39" s="11"/>
      <c r="E39" s="12" t="s">
        <v>212</v>
      </c>
      <c r="F39" s="24"/>
      <c r="G39" s="23">
        <v>150</v>
      </c>
      <c r="H39" s="47">
        <f t="shared" si="0"/>
        <v>5890</v>
      </c>
    </row>
    <row r="40" spans="1:8" x14ac:dyDescent="0.2">
      <c r="A40" s="86"/>
      <c r="B40" s="18"/>
      <c r="C40" s="76"/>
      <c r="D40" s="17"/>
      <c r="E40" s="12" t="s">
        <v>213</v>
      </c>
      <c r="F40" s="24"/>
      <c r="G40" s="23">
        <v>400</v>
      </c>
      <c r="H40" s="47">
        <f t="shared" si="0"/>
        <v>5490</v>
      </c>
    </row>
    <row r="41" spans="1:8" x14ac:dyDescent="0.2">
      <c r="A41" s="86"/>
      <c r="B41" s="25"/>
      <c r="C41" s="77"/>
      <c r="D41" s="11"/>
      <c r="E41" s="12" t="s">
        <v>214</v>
      </c>
      <c r="F41" s="24"/>
      <c r="G41" s="23">
        <v>140</v>
      </c>
      <c r="H41" s="47">
        <f t="shared" si="0"/>
        <v>5350</v>
      </c>
    </row>
    <row r="42" spans="1:8" x14ac:dyDescent="0.2">
      <c r="A42" s="86"/>
      <c r="B42" s="25"/>
      <c r="C42" s="77"/>
      <c r="D42" s="11"/>
      <c r="E42" s="12" t="s">
        <v>215</v>
      </c>
      <c r="F42" s="24"/>
      <c r="G42" s="23">
        <v>380</v>
      </c>
      <c r="H42" s="47">
        <f t="shared" si="0"/>
        <v>4970</v>
      </c>
    </row>
    <row r="43" spans="1:8" x14ac:dyDescent="0.2">
      <c r="A43" s="86"/>
      <c r="B43" s="25"/>
      <c r="C43" s="77"/>
      <c r="D43" s="11"/>
      <c r="E43" s="12" t="s">
        <v>216</v>
      </c>
      <c r="F43" s="24"/>
      <c r="G43" s="23">
        <v>400</v>
      </c>
      <c r="H43" s="47">
        <f t="shared" si="0"/>
        <v>4570</v>
      </c>
    </row>
    <row r="44" spans="1:8" x14ac:dyDescent="0.2">
      <c r="A44" s="86"/>
      <c r="B44" s="17"/>
      <c r="C44" s="76"/>
      <c r="D44" s="17"/>
      <c r="E44" s="12" t="s">
        <v>218</v>
      </c>
      <c r="F44" s="24"/>
      <c r="G44" s="23">
        <v>450</v>
      </c>
      <c r="H44" s="47">
        <f t="shared" si="0"/>
        <v>4120</v>
      </c>
    </row>
    <row r="45" spans="1:8" x14ac:dyDescent="0.2">
      <c r="A45" s="86"/>
      <c r="B45" s="17"/>
      <c r="C45" s="76"/>
      <c r="D45" s="17"/>
      <c r="E45" s="12" t="s">
        <v>219</v>
      </c>
      <c r="F45" s="24"/>
      <c r="G45" s="23">
        <v>250</v>
      </c>
      <c r="H45" s="47">
        <f t="shared" si="0"/>
        <v>3870</v>
      </c>
    </row>
    <row r="46" spans="1:8" x14ac:dyDescent="0.2">
      <c r="A46" s="87"/>
      <c r="B46" s="17"/>
      <c r="C46" s="77"/>
      <c r="D46" s="11"/>
      <c r="E46" s="12" t="s">
        <v>217</v>
      </c>
      <c r="F46" s="24"/>
      <c r="G46" s="23">
        <v>167</v>
      </c>
      <c r="H46" s="47">
        <f t="shared" si="0"/>
        <v>3703</v>
      </c>
    </row>
    <row r="47" spans="1:8" x14ac:dyDescent="0.2">
      <c r="A47" s="85">
        <v>46098</v>
      </c>
      <c r="B47" s="17"/>
      <c r="C47" s="77"/>
      <c r="D47" s="11"/>
      <c r="E47" s="12" t="s">
        <v>220</v>
      </c>
      <c r="F47" s="24"/>
      <c r="G47" s="23">
        <v>450</v>
      </c>
      <c r="H47" s="47">
        <f t="shared" si="0"/>
        <v>3253</v>
      </c>
    </row>
    <row r="48" spans="1:8" x14ac:dyDescent="0.2">
      <c r="A48" s="86"/>
      <c r="B48" s="18"/>
      <c r="C48" s="76"/>
      <c r="D48" s="18"/>
      <c r="E48" s="12" t="s">
        <v>221</v>
      </c>
      <c r="F48" s="24"/>
      <c r="G48" s="23">
        <v>450</v>
      </c>
      <c r="H48" s="47">
        <f t="shared" si="0"/>
        <v>2803</v>
      </c>
    </row>
    <row r="49" spans="1:8" x14ac:dyDescent="0.2">
      <c r="A49" s="86"/>
      <c r="B49" s="18"/>
      <c r="C49" s="76"/>
      <c r="D49" s="18"/>
      <c r="E49" s="12" t="s">
        <v>222</v>
      </c>
      <c r="F49" s="24"/>
      <c r="G49" s="23">
        <v>95</v>
      </c>
      <c r="H49" s="47">
        <f t="shared" si="0"/>
        <v>2708</v>
      </c>
    </row>
    <row r="50" spans="1:8" x14ac:dyDescent="0.2">
      <c r="A50" s="86"/>
      <c r="B50" s="17"/>
      <c r="C50" s="76"/>
      <c r="D50" s="18"/>
      <c r="E50" s="56" t="s">
        <v>223</v>
      </c>
      <c r="F50" s="24"/>
      <c r="G50" s="23">
        <v>386</v>
      </c>
      <c r="H50" s="47">
        <f t="shared" si="0"/>
        <v>2322</v>
      </c>
    </row>
    <row r="51" spans="1:8" x14ac:dyDescent="0.2">
      <c r="A51" s="86"/>
      <c r="B51" s="18"/>
      <c r="C51" s="76"/>
      <c r="D51" s="18"/>
      <c r="E51" s="12" t="s">
        <v>224</v>
      </c>
      <c r="F51" s="24"/>
      <c r="G51" s="23">
        <v>170</v>
      </c>
      <c r="H51" s="47">
        <f t="shared" si="0"/>
        <v>2152</v>
      </c>
    </row>
    <row r="52" spans="1:8" x14ac:dyDescent="0.2">
      <c r="A52" s="87"/>
      <c r="B52" s="18"/>
      <c r="C52" s="76"/>
      <c r="D52" s="18"/>
      <c r="E52" s="12" t="s">
        <v>225</v>
      </c>
      <c r="F52" s="24"/>
      <c r="G52" s="23">
        <v>78</v>
      </c>
      <c r="H52" s="47">
        <f t="shared" si="0"/>
        <v>2074</v>
      </c>
    </row>
    <row r="53" spans="1:8" ht="38.25" x14ac:dyDescent="0.2">
      <c r="A53" s="85">
        <v>46099</v>
      </c>
      <c r="B53" s="17" t="s">
        <v>121</v>
      </c>
      <c r="C53" s="76" t="s">
        <v>25</v>
      </c>
      <c r="D53" s="17" t="s">
        <v>120</v>
      </c>
      <c r="E53" s="12" t="s">
        <v>226</v>
      </c>
      <c r="F53" s="24">
        <v>5000</v>
      </c>
      <c r="G53" s="23">
        <v>40</v>
      </c>
      <c r="H53" s="47">
        <f t="shared" si="0"/>
        <v>7034</v>
      </c>
    </row>
    <row r="54" spans="1:8" x14ac:dyDescent="0.2">
      <c r="A54" s="86"/>
      <c r="B54" s="18"/>
      <c r="C54" s="76"/>
      <c r="D54" s="18"/>
      <c r="E54" s="12" t="s">
        <v>227</v>
      </c>
      <c r="F54" s="24"/>
      <c r="G54" s="23">
        <v>1000</v>
      </c>
      <c r="H54" s="47">
        <f t="shared" si="0"/>
        <v>6034</v>
      </c>
    </row>
    <row r="55" spans="1:8" x14ac:dyDescent="0.2">
      <c r="A55" s="86"/>
      <c r="B55" s="17"/>
      <c r="C55" s="76"/>
      <c r="D55" s="17"/>
      <c r="E55" s="12" t="s">
        <v>228</v>
      </c>
      <c r="F55" s="24"/>
      <c r="G55" s="23">
        <v>3400</v>
      </c>
      <c r="H55" s="47">
        <f t="shared" si="0"/>
        <v>2634</v>
      </c>
    </row>
    <row r="56" spans="1:8" ht="25.5" x14ac:dyDescent="0.2">
      <c r="A56" s="87"/>
      <c r="B56" s="18" t="s">
        <v>229</v>
      </c>
      <c r="C56" s="76" t="s">
        <v>145</v>
      </c>
      <c r="D56" s="17" t="s">
        <v>120</v>
      </c>
      <c r="E56" s="12" t="s">
        <v>230</v>
      </c>
      <c r="F56" s="24">
        <v>6</v>
      </c>
      <c r="G56" s="23">
        <v>340</v>
      </c>
      <c r="H56" s="47">
        <f t="shared" si="0"/>
        <v>2300</v>
      </c>
    </row>
    <row r="57" spans="1:8" ht="38.25" x14ac:dyDescent="0.2">
      <c r="A57" s="85">
        <v>46100</v>
      </c>
      <c r="B57" s="17" t="s">
        <v>121</v>
      </c>
      <c r="C57" s="76" t="s">
        <v>25</v>
      </c>
      <c r="D57" s="17" t="s">
        <v>120</v>
      </c>
      <c r="E57" s="12" t="s">
        <v>231</v>
      </c>
      <c r="F57" s="24">
        <v>5000</v>
      </c>
      <c r="G57" s="23">
        <v>650</v>
      </c>
      <c r="H57" s="47">
        <f t="shared" si="0"/>
        <v>6650</v>
      </c>
    </row>
    <row r="58" spans="1:8" x14ac:dyDescent="0.2">
      <c r="A58" s="87"/>
      <c r="B58" s="18"/>
      <c r="C58" s="76"/>
      <c r="D58" s="18"/>
      <c r="E58" s="12" t="s">
        <v>232</v>
      </c>
      <c r="F58" s="24"/>
      <c r="G58" s="23">
        <v>195</v>
      </c>
      <c r="H58" s="47">
        <f t="shared" si="0"/>
        <v>6455</v>
      </c>
    </row>
    <row r="59" spans="1:8" x14ac:dyDescent="0.2">
      <c r="A59" s="82">
        <v>46101</v>
      </c>
      <c r="B59" s="18"/>
      <c r="C59" s="76"/>
      <c r="D59" s="18"/>
      <c r="E59" s="12" t="s">
        <v>194</v>
      </c>
      <c r="F59" s="24"/>
      <c r="G59" s="23">
        <v>928</v>
      </c>
      <c r="H59" s="47">
        <f t="shared" si="0"/>
        <v>5527</v>
      </c>
    </row>
    <row r="60" spans="1:8" x14ac:dyDescent="0.2">
      <c r="A60" s="82"/>
      <c r="B60" s="18"/>
      <c r="C60" s="76"/>
      <c r="D60" s="18"/>
      <c r="E60" s="12"/>
      <c r="F60" s="24"/>
      <c r="G60" s="23"/>
      <c r="H60" s="47">
        <f t="shared" si="0"/>
        <v>5527</v>
      </c>
    </row>
    <row r="61" spans="1:8" x14ac:dyDescent="0.2">
      <c r="A61" s="82"/>
      <c r="B61" s="10"/>
      <c r="C61" s="78"/>
      <c r="D61" s="10"/>
      <c r="E61" s="12"/>
      <c r="F61" s="24"/>
      <c r="G61" s="23"/>
      <c r="H61" s="47">
        <f t="shared" si="0"/>
        <v>5527</v>
      </c>
    </row>
    <row r="62" spans="1:8" x14ac:dyDescent="0.2">
      <c r="A62" s="82"/>
      <c r="B62" s="10"/>
      <c r="C62" s="78"/>
      <c r="D62" s="10"/>
      <c r="E62" s="11"/>
      <c r="F62" s="24"/>
      <c r="G62" s="23"/>
      <c r="H62" s="47">
        <f t="shared" si="0"/>
        <v>5527</v>
      </c>
    </row>
    <row r="63" spans="1:8" x14ac:dyDescent="0.2">
      <c r="A63" s="82"/>
      <c r="B63" s="10"/>
      <c r="C63" s="78"/>
      <c r="D63" s="10"/>
      <c r="E63" s="11"/>
      <c r="F63" s="24"/>
      <c r="G63" s="23"/>
      <c r="H63" s="47">
        <f t="shared" si="0"/>
        <v>5527</v>
      </c>
    </row>
    <row r="64" spans="1:8" x14ac:dyDescent="0.2">
      <c r="A64" s="82"/>
      <c r="B64" s="10"/>
      <c r="C64" s="78"/>
      <c r="D64" s="10"/>
      <c r="E64" s="11"/>
      <c r="F64" s="24"/>
      <c r="G64" s="23"/>
      <c r="H64" s="47">
        <f t="shared" si="0"/>
        <v>5527</v>
      </c>
    </row>
    <row r="65" spans="1:9" x14ac:dyDescent="0.2">
      <c r="A65" s="82"/>
      <c r="B65" s="10"/>
      <c r="C65" s="78"/>
      <c r="D65" s="10"/>
      <c r="E65" s="11"/>
      <c r="F65" s="24"/>
      <c r="G65" s="23"/>
      <c r="H65" s="47">
        <f t="shared" si="0"/>
        <v>5527</v>
      </c>
    </row>
    <row r="66" spans="1:9" x14ac:dyDescent="0.2">
      <c r="A66" s="82"/>
      <c r="B66" s="18"/>
      <c r="C66" s="76"/>
      <c r="D66" s="18"/>
      <c r="E66" s="11"/>
      <c r="F66" s="24"/>
      <c r="G66" s="23"/>
      <c r="H66" s="47">
        <f t="shared" si="0"/>
        <v>5527</v>
      </c>
    </row>
    <row r="67" spans="1:9" x14ac:dyDescent="0.2">
      <c r="A67" s="82"/>
      <c r="B67" s="18"/>
      <c r="C67" s="76"/>
      <c r="D67" s="18"/>
      <c r="E67" s="12"/>
      <c r="F67" s="24"/>
      <c r="G67" s="23"/>
      <c r="H67" s="47">
        <f t="shared" si="0"/>
        <v>5527</v>
      </c>
    </row>
    <row r="68" spans="1:9" x14ac:dyDescent="0.2">
      <c r="A68" s="82"/>
      <c r="B68" s="18"/>
      <c r="C68" s="76"/>
      <c r="D68" s="18"/>
      <c r="E68" s="11"/>
      <c r="F68" s="24"/>
      <c r="G68" s="23"/>
      <c r="H68" s="47">
        <f t="shared" si="0"/>
        <v>5527</v>
      </c>
    </row>
    <row r="69" spans="1:9" x14ac:dyDescent="0.2">
      <c r="A69" s="82"/>
      <c r="B69" s="18"/>
      <c r="C69" s="76"/>
      <c r="D69" s="18"/>
      <c r="E69" s="11"/>
      <c r="F69" s="24"/>
      <c r="G69" s="23"/>
      <c r="H69" s="47">
        <f t="shared" ref="H69:H111" si="1">H68+F69-G69</f>
        <v>5527</v>
      </c>
    </row>
    <row r="70" spans="1:9" x14ac:dyDescent="0.2">
      <c r="A70" s="82"/>
      <c r="B70" s="18"/>
      <c r="C70" s="76"/>
      <c r="D70" s="18"/>
      <c r="E70" s="11"/>
      <c r="F70" s="24"/>
      <c r="G70" s="23"/>
      <c r="H70" s="47">
        <f t="shared" si="1"/>
        <v>5527</v>
      </c>
    </row>
    <row r="71" spans="1:9" x14ac:dyDescent="0.2">
      <c r="A71" s="82"/>
      <c r="B71" s="18"/>
      <c r="C71" s="76"/>
      <c r="D71" s="18"/>
      <c r="E71" s="11"/>
      <c r="F71" s="24"/>
      <c r="G71" s="23"/>
      <c r="H71" s="47">
        <f t="shared" si="1"/>
        <v>5527</v>
      </c>
    </row>
    <row r="72" spans="1:9" x14ac:dyDescent="0.2">
      <c r="A72" s="82"/>
      <c r="B72" s="18"/>
      <c r="C72" s="76"/>
      <c r="D72" s="18"/>
      <c r="E72" s="11"/>
      <c r="F72" s="24"/>
      <c r="G72" s="23"/>
      <c r="H72" s="47">
        <f t="shared" si="1"/>
        <v>5527</v>
      </c>
    </row>
    <row r="73" spans="1:9" x14ac:dyDescent="0.2">
      <c r="A73" s="82"/>
      <c r="B73" s="17"/>
      <c r="C73" s="76"/>
      <c r="D73" s="17"/>
      <c r="E73" s="11"/>
      <c r="F73" s="24"/>
      <c r="G73" s="23"/>
      <c r="H73" s="47">
        <f t="shared" si="1"/>
        <v>5527</v>
      </c>
    </row>
    <row r="74" spans="1:9" x14ac:dyDescent="0.2">
      <c r="A74" s="82"/>
      <c r="B74" s="18"/>
      <c r="C74" s="76"/>
      <c r="D74" s="18"/>
      <c r="E74" s="12"/>
      <c r="F74" s="24"/>
      <c r="G74" s="23"/>
      <c r="H74" s="47">
        <f t="shared" si="1"/>
        <v>5527</v>
      </c>
    </row>
    <row r="75" spans="1:9" x14ac:dyDescent="0.2">
      <c r="A75" s="82"/>
      <c r="B75" s="18"/>
      <c r="C75" s="76"/>
      <c r="D75" s="18"/>
      <c r="E75" s="11"/>
      <c r="F75" s="24"/>
      <c r="G75" s="23"/>
      <c r="H75" s="47">
        <f t="shared" si="1"/>
        <v>5527</v>
      </c>
    </row>
    <row r="76" spans="1:9" x14ac:dyDescent="0.2">
      <c r="A76" s="82"/>
      <c r="B76" s="18"/>
      <c r="C76" s="76"/>
      <c r="D76" s="18"/>
      <c r="E76" s="11"/>
      <c r="F76" s="24"/>
      <c r="G76" s="23"/>
      <c r="H76" s="47">
        <f t="shared" si="1"/>
        <v>5527</v>
      </c>
    </row>
    <row r="77" spans="1:9" ht="16.5" thickBot="1" x14ac:dyDescent="0.25">
      <c r="A77" s="83"/>
      <c r="B77" s="51"/>
      <c r="C77" s="79"/>
      <c r="D77" s="51"/>
      <c r="E77" s="52"/>
      <c r="F77" s="75"/>
      <c r="G77" s="54"/>
      <c r="H77" s="55">
        <f t="shared" si="1"/>
        <v>5527</v>
      </c>
      <c r="I77" s="84" t="s">
        <v>9</v>
      </c>
    </row>
    <row r="78" spans="1:9" ht="15.75" x14ac:dyDescent="0.2">
      <c r="A78" s="58"/>
      <c r="B78" s="59"/>
      <c r="C78" s="80"/>
      <c r="D78" s="59"/>
      <c r="E78" s="7"/>
      <c r="F78" s="68"/>
      <c r="G78" s="61"/>
      <c r="H78" s="60">
        <f t="shared" si="1"/>
        <v>5527</v>
      </c>
      <c r="I78" s="93"/>
    </row>
    <row r="79" spans="1:9" x14ac:dyDescent="0.2">
      <c r="A79" s="20"/>
      <c r="B79" s="18"/>
      <c r="C79" s="76"/>
      <c r="D79" s="18"/>
      <c r="E79" s="11"/>
      <c r="F79" s="24"/>
      <c r="G79" s="23"/>
      <c r="H79" s="24">
        <f t="shared" si="1"/>
        <v>5527</v>
      </c>
    </row>
    <row r="80" spans="1:9" x14ac:dyDescent="0.2">
      <c r="A80" s="20"/>
      <c r="B80" s="18"/>
      <c r="C80" s="76"/>
      <c r="D80" s="18"/>
      <c r="E80" s="11"/>
      <c r="F80" s="24"/>
      <c r="G80" s="23"/>
      <c r="H80" s="24">
        <f t="shared" si="1"/>
        <v>5527</v>
      </c>
    </row>
    <row r="81" spans="1:8" x14ac:dyDescent="0.2">
      <c r="A81" s="20"/>
      <c r="B81" s="18"/>
      <c r="C81" s="76"/>
      <c r="D81" s="18"/>
      <c r="E81" s="11"/>
      <c r="F81" s="24"/>
      <c r="G81" s="23"/>
      <c r="H81" s="24">
        <f t="shared" si="1"/>
        <v>5527</v>
      </c>
    </row>
    <row r="82" spans="1:8" x14ac:dyDescent="0.2">
      <c r="A82" s="20"/>
      <c r="B82" s="18"/>
      <c r="C82" s="76"/>
      <c r="D82" s="18"/>
      <c r="E82" s="11"/>
      <c r="F82" s="24"/>
      <c r="G82" s="23"/>
      <c r="H82" s="24">
        <f t="shared" si="1"/>
        <v>5527</v>
      </c>
    </row>
    <row r="83" spans="1:8" x14ac:dyDescent="0.2">
      <c r="A83" s="20"/>
      <c r="B83" s="18"/>
      <c r="C83" s="76"/>
      <c r="D83" s="18"/>
      <c r="E83" s="11"/>
      <c r="F83" s="24"/>
      <c r="G83" s="23"/>
      <c r="H83" s="24">
        <f t="shared" si="1"/>
        <v>5527</v>
      </c>
    </row>
    <row r="84" spans="1:8" x14ac:dyDescent="0.2">
      <c r="A84" s="20"/>
      <c r="B84" s="18"/>
      <c r="C84" s="76"/>
      <c r="D84" s="18"/>
      <c r="E84" s="11"/>
      <c r="F84" s="24"/>
      <c r="G84" s="23"/>
      <c r="H84" s="24">
        <f t="shared" si="1"/>
        <v>5527</v>
      </c>
    </row>
    <row r="85" spans="1:8" x14ac:dyDescent="0.2">
      <c r="A85" s="20"/>
      <c r="B85" s="18"/>
      <c r="C85" s="76"/>
      <c r="D85" s="18"/>
      <c r="E85" s="11"/>
      <c r="F85" s="24"/>
      <c r="G85" s="23"/>
      <c r="H85" s="24">
        <f t="shared" si="1"/>
        <v>5527</v>
      </c>
    </row>
    <row r="86" spans="1:8" x14ac:dyDescent="0.2">
      <c r="A86" s="20"/>
      <c r="B86" s="18"/>
      <c r="C86" s="76"/>
      <c r="D86" s="18"/>
      <c r="E86" s="11"/>
      <c r="F86" s="24"/>
      <c r="G86" s="23"/>
      <c r="H86" s="24">
        <f t="shared" si="1"/>
        <v>5527</v>
      </c>
    </row>
    <row r="87" spans="1:8" x14ac:dyDescent="0.2">
      <c r="A87" s="20"/>
      <c r="B87" s="18"/>
      <c r="C87" s="76"/>
      <c r="D87" s="18"/>
      <c r="E87" s="11"/>
      <c r="F87" s="24"/>
      <c r="G87" s="23"/>
      <c r="H87" s="24">
        <f t="shared" si="1"/>
        <v>5527</v>
      </c>
    </row>
    <row r="88" spans="1:8" x14ac:dyDescent="0.2">
      <c r="A88" s="20"/>
      <c r="B88" s="18"/>
      <c r="C88" s="76"/>
      <c r="D88" s="18"/>
      <c r="E88" s="11"/>
      <c r="F88" s="24"/>
      <c r="G88" s="23"/>
      <c r="H88" s="24">
        <f t="shared" si="1"/>
        <v>5527</v>
      </c>
    </row>
    <row r="89" spans="1:8" x14ac:dyDescent="0.2">
      <c r="A89" s="20"/>
      <c r="B89" s="18"/>
      <c r="C89" s="76"/>
      <c r="D89" s="18"/>
      <c r="E89" s="11"/>
      <c r="F89" s="24"/>
      <c r="G89" s="23"/>
      <c r="H89" s="24">
        <f t="shared" si="1"/>
        <v>5527</v>
      </c>
    </row>
    <row r="90" spans="1:8" x14ac:dyDescent="0.2">
      <c r="A90" s="20"/>
      <c r="B90" s="18"/>
      <c r="C90" s="76"/>
      <c r="D90" s="18"/>
      <c r="E90" s="11"/>
      <c r="F90" s="24"/>
      <c r="G90" s="23"/>
      <c r="H90" s="24">
        <f t="shared" si="1"/>
        <v>5527</v>
      </c>
    </row>
    <row r="91" spans="1:8" x14ac:dyDescent="0.2">
      <c r="A91" s="20"/>
      <c r="B91" s="18"/>
      <c r="C91" s="76"/>
      <c r="D91" s="18"/>
      <c r="E91" s="11"/>
      <c r="F91" s="24"/>
      <c r="G91" s="23"/>
      <c r="H91" s="24">
        <f t="shared" si="1"/>
        <v>5527</v>
      </c>
    </row>
    <row r="92" spans="1:8" x14ac:dyDescent="0.2">
      <c r="A92" s="20"/>
      <c r="B92" s="18"/>
      <c r="C92" s="76"/>
      <c r="D92" s="18"/>
      <c r="E92" s="11"/>
      <c r="F92" s="24"/>
      <c r="G92" s="23"/>
      <c r="H92" s="24">
        <f t="shared" si="1"/>
        <v>5527</v>
      </c>
    </row>
    <row r="93" spans="1:8" x14ac:dyDescent="0.2">
      <c r="A93" s="20"/>
      <c r="B93" s="18"/>
      <c r="C93" s="76"/>
      <c r="D93" s="18"/>
      <c r="E93" s="11"/>
      <c r="F93" s="24"/>
      <c r="G93" s="23"/>
      <c r="H93" s="24">
        <f t="shared" si="1"/>
        <v>5527</v>
      </c>
    </row>
    <row r="94" spans="1:8" x14ac:dyDescent="0.2">
      <c r="A94" s="20"/>
      <c r="B94" s="18"/>
      <c r="C94" s="76"/>
      <c r="D94" s="18"/>
      <c r="E94" s="11"/>
      <c r="F94" s="24"/>
      <c r="G94" s="23"/>
      <c r="H94" s="24">
        <f t="shared" si="1"/>
        <v>5527</v>
      </c>
    </row>
    <row r="95" spans="1:8" x14ac:dyDescent="0.2">
      <c r="A95" s="20"/>
      <c r="B95" s="18"/>
      <c r="C95" s="76"/>
      <c r="D95" s="18"/>
      <c r="E95" s="11"/>
      <c r="F95" s="24"/>
      <c r="G95" s="23"/>
      <c r="H95" s="24">
        <f t="shared" si="1"/>
        <v>5527</v>
      </c>
    </row>
    <row r="96" spans="1:8" x14ac:dyDescent="0.2">
      <c r="A96" s="20"/>
      <c r="B96" s="18"/>
      <c r="C96" s="76"/>
      <c r="D96" s="18"/>
      <c r="E96" s="11"/>
      <c r="F96" s="24"/>
      <c r="G96" s="23"/>
      <c r="H96" s="24">
        <f t="shared" si="1"/>
        <v>5527</v>
      </c>
    </row>
    <row r="97" spans="1:8" x14ac:dyDescent="0.2">
      <c r="A97" s="20"/>
      <c r="B97" s="18"/>
      <c r="C97" s="76"/>
      <c r="D97" s="18"/>
      <c r="E97" s="11"/>
      <c r="F97" s="24"/>
      <c r="G97" s="23"/>
      <c r="H97" s="24">
        <f t="shared" si="1"/>
        <v>5527</v>
      </c>
    </row>
    <row r="98" spans="1:8" x14ac:dyDescent="0.2">
      <c r="A98" s="20"/>
      <c r="B98" s="18"/>
      <c r="C98" s="76"/>
      <c r="D98" s="18"/>
      <c r="E98" s="11"/>
      <c r="F98" s="24"/>
      <c r="G98" s="23"/>
      <c r="H98" s="24">
        <f t="shared" si="1"/>
        <v>5527</v>
      </c>
    </row>
    <row r="99" spans="1:8" x14ac:dyDescent="0.2">
      <c r="A99" s="20"/>
      <c r="B99" s="18"/>
      <c r="C99" s="76"/>
      <c r="D99" s="18"/>
      <c r="E99" s="11"/>
      <c r="F99" s="24"/>
      <c r="G99" s="23"/>
      <c r="H99" s="24">
        <f t="shared" si="1"/>
        <v>5527</v>
      </c>
    </row>
    <row r="100" spans="1:8" x14ac:dyDescent="0.2">
      <c r="A100" s="20"/>
      <c r="B100" s="18"/>
      <c r="C100" s="76"/>
      <c r="D100" s="18"/>
      <c r="E100" s="11"/>
      <c r="F100" s="24"/>
      <c r="G100" s="23"/>
      <c r="H100" s="24">
        <f t="shared" si="1"/>
        <v>5527</v>
      </c>
    </row>
    <row r="101" spans="1:8" x14ac:dyDescent="0.2">
      <c r="A101" s="20"/>
      <c r="B101" s="18"/>
      <c r="C101" s="76"/>
      <c r="D101" s="18"/>
      <c r="E101" s="11"/>
      <c r="F101" s="24"/>
      <c r="G101" s="23"/>
      <c r="H101" s="24">
        <f t="shared" si="1"/>
        <v>5527</v>
      </c>
    </row>
    <row r="102" spans="1:8" x14ac:dyDescent="0.2">
      <c r="A102" s="20"/>
      <c r="B102" s="18"/>
      <c r="C102" s="76"/>
      <c r="D102" s="18"/>
      <c r="E102" s="11"/>
      <c r="F102" s="24"/>
      <c r="G102" s="23"/>
      <c r="H102" s="24">
        <f t="shared" si="1"/>
        <v>5527</v>
      </c>
    </row>
    <row r="103" spans="1:8" x14ac:dyDescent="0.2">
      <c r="A103" s="20"/>
      <c r="B103" s="18"/>
      <c r="C103" s="76"/>
      <c r="D103" s="18"/>
      <c r="E103" s="11"/>
      <c r="F103" s="24"/>
      <c r="G103" s="23"/>
      <c r="H103" s="24">
        <f t="shared" si="1"/>
        <v>5527</v>
      </c>
    </row>
    <row r="104" spans="1:8" x14ac:dyDescent="0.2">
      <c r="A104" s="20"/>
      <c r="B104" s="18"/>
      <c r="C104" s="76"/>
      <c r="D104" s="18"/>
      <c r="E104" s="11"/>
      <c r="F104" s="24"/>
      <c r="G104" s="23"/>
      <c r="H104" s="24">
        <f t="shared" si="1"/>
        <v>5527</v>
      </c>
    </row>
    <row r="105" spans="1:8" x14ac:dyDescent="0.2">
      <c r="A105" s="20"/>
      <c r="B105" s="18"/>
      <c r="C105" s="76"/>
      <c r="D105" s="18"/>
      <c r="E105" s="11"/>
      <c r="F105" s="24"/>
      <c r="G105" s="23"/>
      <c r="H105" s="24">
        <f t="shared" si="1"/>
        <v>5527</v>
      </c>
    </row>
    <row r="106" spans="1:8" x14ac:dyDescent="0.2">
      <c r="A106" s="20"/>
      <c r="B106" s="18"/>
      <c r="C106" s="76"/>
      <c r="D106" s="18"/>
      <c r="E106" s="11"/>
      <c r="F106" s="24"/>
      <c r="G106" s="23"/>
      <c r="H106" s="24">
        <f t="shared" si="1"/>
        <v>5527</v>
      </c>
    </row>
    <row r="107" spans="1:8" x14ac:dyDescent="0.2">
      <c r="A107" s="20"/>
      <c r="B107" s="18"/>
      <c r="C107" s="76"/>
      <c r="D107" s="18"/>
      <c r="E107" s="11"/>
      <c r="F107" s="24"/>
      <c r="G107" s="23"/>
      <c r="H107" s="24">
        <f t="shared" si="1"/>
        <v>5527</v>
      </c>
    </row>
    <row r="108" spans="1:8" x14ac:dyDescent="0.2">
      <c r="A108" s="20"/>
      <c r="B108" s="18"/>
      <c r="C108" s="76"/>
      <c r="D108" s="18"/>
      <c r="E108" s="11"/>
      <c r="F108" s="24"/>
      <c r="G108" s="23"/>
      <c r="H108" s="24">
        <f t="shared" si="1"/>
        <v>5527</v>
      </c>
    </row>
    <row r="109" spans="1:8" x14ac:dyDescent="0.2">
      <c r="A109" s="21"/>
      <c r="B109" s="18"/>
      <c r="C109" s="76"/>
      <c r="D109" s="18"/>
      <c r="E109" s="11"/>
      <c r="F109" s="24"/>
      <c r="G109" s="23"/>
      <c r="H109" s="24">
        <f t="shared" si="1"/>
        <v>5527</v>
      </c>
    </row>
    <row r="110" spans="1:8" x14ac:dyDescent="0.2">
      <c r="A110" s="21"/>
      <c r="B110" s="18"/>
      <c r="C110" s="76"/>
      <c r="D110" s="18"/>
      <c r="E110" s="11"/>
      <c r="F110" s="24"/>
      <c r="G110" s="23"/>
      <c r="H110" s="24">
        <f t="shared" si="1"/>
        <v>5527</v>
      </c>
    </row>
    <row r="111" spans="1:8" x14ac:dyDescent="0.2">
      <c r="A111" s="21"/>
      <c r="B111" s="18"/>
      <c r="C111" s="76"/>
      <c r="D111" s="18"/>
      <c r="E111" s="11"/>
      <c r="F111" s="24"/>
      <c r="G111" s="23"/>
      <c r="H111" s="24">
        <f t="shared" si="1"/>
        <v>5527</v>
      </c>
    </row>
  </sheetData>
  <mergeCells count="11">
    <mergeCell ref="I77:I78"/>
    <mergeCell ref="A1:H1"/>
    <mergeCell ref="A7:A10"/>
    <mergeCell ref="A14:A18"/>
    <mergeCell ref="A20:A23"/>
    <mergeCell ref="A25:A34"/>
    <mergeCell ref="A35:A38"/>
    <mergeCell ref="A39:A46"/>
    <mergeCell ref="A47:A52"/>
    <mergeCell ref="A53:A56"/>
    <mergeCell ref="A57:A5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B2AAE-1BD7-400D-A761-4D5DA9FAB287}">
  <dimension ref="J15:J17"/>
  <sheetViews>
    <sheetView workbookViewId="0">
      <selection activeCell="M21" sqref="M21"/>
    </sheetView>
  </sheetViews>
  <sheetFormatPr defaultRowHeight="15" x14ac:dyDescent="0.25"/>
  <sheetData>
    <row r="15" spans="10:10" x14ac:dyDescent="0.25">
      <c r="J15">
        <v>120</v>
      </c>
    </row>
    <row r="16" spans="10:10" x14ac:dyDescent="0.25">
      <c r="J16">
        <v>159</v>
      </c>
    </row>
    <row r="17" spans="10:10" x14ac:dyDescent="0.25">
      <c r="J17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JAN_2026</vt:lpstr>
      <vt:lpstr>FEB_2026</vt:lpstr>
      <vt:lpstr>MARCH_2026</vt:lpstr>
      <vt:lpstr>Sheet1</vt:lpstr>
      <vt:lpstr>FEB_2026!Print_Area</vt:lpstr>
      <vt:lpstr>JAN_2026!Print_Area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2026-03-20T12:38:07Z</dcterms:modified>
</cp:coreProperties>
</file>