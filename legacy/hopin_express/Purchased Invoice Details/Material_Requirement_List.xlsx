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nglabs_Machanical\"/>
    </mc:Choice>
  </mc:AlternateContent>
  <xr:revisionPtr revIDLastSave="0" documentId="13_ncr:1_{8404EC0C-2C98-439A-85B8-BB3E24B61E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terial Requirement List" sheetId="1" r:id="rId1"/>
    <sheet name="Purchased List" sheetId="2" r:id="rId2"/>
    <sheet name="New list" sheetId="3" r:id="rId3"/>
    <sheet name="Rate" sheetId="4" r:id="rId4"/>
  </sheets>
  <definedNames>
    <definedName name="_xlnm._FilterDatabase" localSheetId="2" hidden="1">'New list'!$A$1:$J$33</definedName>
    <definedName name="_xlnm._FilterDatabase" localSheetId="1" hidden="1">'Purchased List'!$A$1:$G$37</definedName>
    <definedName name="_xlnm.Print_Area" localSheetId="2">'New list'!$A$1:$J$35</definedName>
    <definedName name="_xlnm.Print_Area" localSheetId="1">'Purchased List'!$A$1:$G$68</definedName>
    <definedName name="valHighlight">IFERROR(IF('New list'!#REF!="Yes", TRUE, FALSE),FALSE)</definedName>
  </definedNames>
  <calcPr calcId="181029"/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3" i="3"/>
  <c r="I2" i="3"/>
</calcChain>
</file>

<file path=xl/sharedStrings.xml><?xml version="1.0" encoding="utf-8"?>
<sst xmlns="http://schemas.openxmlformats.org/spreadsheetml/2006/main" count="524" uniqueCount="227">
  <si>
    <t>Sr. No</t>
  </si>
  <si>
    <t>Description</t>
  </si>
  <si>
    <t>In Stock</t>
  </si>
  <si>
    <t>Requirement</t>
  </si>
  <si>
    <t>Remarks</t>
  </si>
  <si>
    <t>Zip Lock</t>
  </si>
  <si>
    <t>0</t>
  </si>
  <si>
    <t>All Size</t>
  </si>
  <si>
    <t>Tissue Roll - Toilet Roller</t>
  </si>
  <si>
    <t>2 Packet</t>
  </si>
  <si>
    <t>Sanding Paper 220</t>
  </si>
  <si>
    <t>80 pcs</t>
  </si>
  <si>
    <t>100 pcs</t>
  </si>
  <si>
    <t>Sanding Paper 320</t>
  </si>
  <si>
    <t>3 pcs</t>
  </si>
  <si>
    <t>200 pcs</t>
  </si>
  <si>
    <t>Urgent</t>
  </si>
  <si>
    <t>Sanding Paper 600</t>
  </si>
  <si>
    <t>40 pcs</t>
  </si>
  <si>
    <t>Sanding Paper 2000</t>
  </si>
  <si>
    <t>50 pcs</t>
  </si>
  <si>
    <t>SBL Thinner</t>
  </si>
  <si>
    <t>5 ltr</t>
  </si>
  <si>
    <t>10 ltr</t>
  </si>
  <si>
    <t>SPB Primer</t>
  </si>
  <si>
    <t>4 ltr</t>
  </si>
  <si>
    <t>A4 Size Paper</t>
  </si>
  <si>
    <t>5 Packet</t>
  </si>
  <si>
    <t>Garbage Bag Full Size</t>
  </si>
  <si>
    <t>1 pcs</t>
  </si>
  <si>
    <t>Heavy Duty Paint Mask</t>
  </si>
  <si>
    <t>12 pcs</t>
  </si>
  <si>
    <t>Spray Paint Gun</t>
  </si>
  <si>
    <t>1 (Not Working)</t>
  </si>
  <si>
    <t>1</t>
  </si>
  <si>
    <t>Boldfit Unisex Arm Sleeves</t>
  </si>
  <si>
    <t>5 pcs</t>
  </si>
  <si>
    <t>SBL - Black Color Gloss Paint</t>
  </si>
  <si>
    <t>8 ltr</t>
  </si>
  <si>
    <t>Silver Matt Paint</t>
  </si>
  <si>
    <t>2 ltr</t>
  </si>
  <si>
    <t>Bead Blasting Gloves</t>
  </si>
  <si>
    <t>Black Matt Spray Can</t>
  </si>
  <si>
    <t>2 pcs</t>
  </si>
  <si>
    <t>Pen Blue - Ball</t>
  </si>
  <si>
    <t>4 pcs</t>
  </si>
  <si>
    <t>VENDOR</t>
  </si>
  <si>
    <t>Private</t>
  </si>
  <si>
    <t>Online</t>
  </si>
  <si>
    <t>Ridhan</t>
  </si>
  <si>
    <t>200 ml</t>
  </si>
  <si>
    <t>1 ltr. (1 set)</t>
  </si>
  <si>
    <t xml:space="preserve">Purchased </t>
  </si>
  <si>
    <t>SPL Primer</t>
  </si>
  <si>
    <t>12 ltr</t>
  </si>
  <si>
    <t>3 ltr</t>
  </si>
  <si>
    <t>Green Matt Paint</t>
  </si>
  <si>
    <t>1.5 Ltr</t>
  </si>
  <si>
    <t>Sevens white gloss</t>
  </si>
  <si>
    <t xml:space="preserve">Sevens Super Clear </t>
  </si>
  <si>
    <t>2Ltr</t>
  </si>
  <si>
    <t>4 Ltr</t>
  </si>
  <si>
    <t>Sevens PU Hardner</t>
  </si>
  <si>
    <t>ENG112</t>
  </si>
  <si>
    <t>ENG111</t>
  </si>
  <si>
    <t>ENG110</t>
  </si>
  <si>
    <t>ENG109</t>
  </si>
  <si>
    <t>ENG03</t>
  </si>
  <si>
    <t>ENG04</t>
  </si>
  <si>
    <t>ENG06</t>
  </si>
  <si>
    <t>Inventory ID</t>
  </si>
  <si>
    <t>ENG79</t>
  </si>
  <si>
    <t>Zip Lock Dispenser</t>
  </si>
  <si>
    <t>ENG91</t>
  </si>
  <si>
    <t>ENG49</t>
  </si>
  <si>
    <t>A4 Size Paper RIM</t>
  </si>
  <si>
    <t>ENG23</t>
  </si>
  <si>
    <t>ENG78</t>
  </si>
  <si>
    <t>ENG98</t>
  </si>
  <si>
    <t>ENG99</t>
  </si>
  <si>
    <t>SBL Etch Primer</t>
  </si>
  <si>
    <t>ENG100</t>
  </si>
  <si>
    <t>ENG13</t>
  </si>
  <si>
    <t>ENG132</t>
  </si>
  <si>
    <t>NILL</t>
  </si>
  <si>
    <t>ENG131</t>
  </si>
  <si>
    <t>ENG127</t>
  </si>
  <si>
    <t xml:space="preserve">Alluminium wire </t>
  </si>
  <si>
    <t>500 gm</t>
  </si>
  <si>
    <t xml:space="preserve">Butter Papper </t>
  </si>
  <si>
    <t>Sliper for Workshop staff 7 number</t>
  </si>
  <si>
    <t>Arjun</t>
  </si>
  <si>
    <t>ENG133</t>
  </si>
  <si>
    <t>ENG135</t>
  </si>
  <si>
    <t>Sevens Black Gloss Paint</t>
  </si>
  <si>
    <t>CHD Paints</t>
  </si>
  <si>
    <t>Rishab Jan Stationers</t>
  </si>
  <si>
    <t>10 Rim</t>
  </si>
  <si>
    <t>Hold</t>
  </si>
  <si>
    <t>ENG120</t>
  </si>
  <si>
    <t xml:space="preserve">NC Thinner </t>
  </si>
  <si>
    <t>ENG19</t>
  </si>
  <si>
    <t>NC Putti Gray</t>
  </si>
  <si>
    <t>ENG44</t>
  </si>
  <si>
    <t>AAA Cell</t>
  </si>
  <si>
    <t>ENG123</t>
  </si>
  <si>
    <t>Sanding Papper 100 number</t>
  </si>
  <si>
    <t>10 nos</t>
  </si>
  <si>
    <t>2 kg</t>
  </si>
  <si>
    <t>20 ltr</t>
  </si>
  <si>
    <t>N/A</t>
  </si>
  <si>
    <t>Surf</t>
  </si>
  <si>
    <t>5KG</t>
  </si>
  <si>
    <t xml:space="preserve">Ridhan  </t>
  </si>
  <si>
    <t>/ go rang Hardware Manimajra</t>
  </si>
  <si>
    <t>hold</t>
  </si>
  <si>
    <t>Doctor lab coat</t>
  </si>
  <si>
    <t>Safety for ears</t>
  </si>
  <si>
    <t>Eye safety goggles</t>
  </si>
  <si>
    <t>Havi Mask For Powder</t>
  </si>
  <si>
    <t>online</t>
  </si>
  <si>
    <t>Amazone Link</t>
  </si>
  <si>
    <t xml:space="preserve"> https://amzn.in/d/gPX7vTi</t>
  </si>
  <si>
    <t xml:space="preserve"> https://amzn.in/d/0PFxzQS</t>
  </si>
  <si>
    <t xml:space="preserve"> https://amzn.in/d/9F4LQrJ</t>
  </si>
  <si>
    <t>https://amzn.in/d/7KjIrI3</t>
  </si>
  <si>
    <t>Tissu Roll</t>
  </si>
  <si>
    <t>Heating Lamp</t>
  </si>
  <si>
    <t>Mouse</t>
  </si>
  <si>
    <t>Keyboard</t>
  </si>
  <si>
    <t>Mouse Pad</t>
  </si>
  <si>
    <t>Fusing Lamp</t>
  </si>
  <si>
    <t>Pendrive</t>
  </si>
  <si>
    <t>Sanding Paper 100</t>
  </si>
  <si>
    <t>ENG55</t>
  </si>
  <si>
    <t xml:space="preserve">Permonent Marker </t>
  </si>
  <si>
    <t>White Board Marker</t>
  </si>
  <si>
    <t>bharat sir</t>
  </si>
  <si>
    <t>Vil Gel</t>
  </si>
  <si>
    <t>ENG93</t>
  </si>
  <si>
    <t>ENG51</t>
  </si>
  <si>
    <t>Fewikwik</t>
  </si>
  <si>
    <t>Bond Paper</t>
  </si>
  <si>
    <t xml:space="preserve">Batter Paper </t>
  </si>
  <si>
    <t>shop</t>
  </si>
  <si>
    <t>ENG122</t>
  </si>
  <si>
    <t xml:space="preserve">Ruff Cleanner </t>
  </si>
  <si>
    <t>Gaurbeg Bag Small</t>
  </si>
  <si>
    <t>Handwash Dettol</t>
  </si>
  <si>
    <t>New</t>
  </si>
  <si>
    <t xml:space="preserve">Electric Board </t>
  </si>
  <si>
    <t>ENG82</t>
  </si>
  <si>
    <t>Garbage Bag Small Size</t>
  </si>
  <si>
    <t>Permanent Marker</t>
  </si>
  <si>
    <t>Whiteboard Marker</t>
  </si>
  <si>
    <t>Vim Gel</t>
  </si>
  <si>
    <t>Electric Board</t>
  </si>
  <si>
    <t>Electric Board Fuse</t>
  </si>
  <si>
    <t>A4 Size Bond Paper RIM</t>
  </si>
  <si>
    <t>Amazone</t>
  </si>
  <si>
    <t xml:space="preserve">Hold on 31 March </t>
  </si>
  <si>
    <t xml:space="preserve">Pen Drive </t>
  </si>
  <si>
    <t>https://amzn.in/d/00Tkp3x7</t>
  </si>
  <si>
    <t>https://amzn.in/d/0bd7KI6p</t>
  </si>
  <si>
    <t>https://amzn.in/d/086IUnqy</t>
  </si>
  <si>
    <t xml:space="preserve">https://amzn.in/d/06p8O2ZZ </t>
  </si>
  <si>
    <t>https://amzn.in/d/08jauwsR</t>
  </si>
  <si>
    <t>https://amzn.in/d/06fLKF62</t>
  </si>
  <si>
    <t>https://amzn.in/d/0dZgWsAk</t>
  </si>
  <si>
    <t>PCS</t>
  </si>
  <si>
    <t>LETER</t>
  </si>
  <si>
    <t xml:space="preserve">https://amzn.in/d/03I5LLDx </t>
  </si>
  <si>
    <t>floor cleaner liquid (Ruff Cleanner)</t>
  </si>
  <si>
    <t>https://amzn.in/d/00kTen7S</t>
  </si>
  <si>
    <t>https://amzn.in/d/0cXT8y08</t>
  </si>
  <si>
    <t>LTR</t>
  </si>
  <si>
    <t>Floor Cleaning Cloth(Pocha)</t>
  </si>
  <si>
    <t xml:space="preserve">FeviKwik 203 20g </t>
  </si>
  <si>
    <t>https://amzn.in/d/02a51Rwz</t>
  </si>
  <si>
    <t>https://amzn.in/d/09u93emB</t>
  </si>
  <si>
    <t>https://amzn.in/d/052uOz0Y</t>
  </si>
  <si>
    <t>https://amzn.in/d/00NWWehA</t>
  </si>
  <si>
    <t>M3x4.5x4</t>
  </si>
  <si>
    <t xml:space="preserve">M4 x6 x 4 </t>
  </si>
  <si>
    <t>M4x6x6</t>
  </si>
  <si>
    <t>Abbas</t>
  </si>
  <si>
    <t>NOS</t>
  </si>
  <si>
    <t>M2x5</t>
  </si>
  <si>
    <t>M3x3</t>
  </si>
  <si>
    <t>Electric Tape Insulation Pipe Vacuum Pipe</t>
  </si>
  <si>
    <t>Rate</t>
  </si>
  <si>
    <t>Amount</t>
  </si>
  <si>
    <t>Unit</t>
  </si>
  <si>
    <t xml:space="preserve">RIM </t>
  </si>
  <si>
    <t>KG</t>
  </si>
  <si>
    <t>S.No</t>
  </si>
  <si>
    <t>Item Name</t>
  </si>
  <si>
    <t>Approximate Market Rate (INR)</t>
  </si>
  <si>
    <t>Garbage Bag (Small)</t>
  </si>
  <si>
    <t>40–110</t>
  </si>
  <si>
    <t>Bead Blasting Gloves (ENG78)</t>
  </si>
  <si>
    <t>2800–5200</t>
  </si>
  <si>
    <t>Doctor Lab Coat</t>
  </si>
  <si>
    <t>400–1000</t>
  </si>
  <si>
    <t>Eye Safety Goggles</t>
  </si>
  <si>
    <t>80–500</t>
  </si>
  <si>
    <t>300–800</t>
  </si>
  <si>
    <t>400–1200</t>
  </si>
  <si>
    <t>100–300</t>
  </si>
  <si>
    <t>Pen Drive</t>
  </si>
  <si>
    <t>300–1800</t>
  </si>
  <si>
    <t>Permanent Marker (ENG55)</t>
  </si>
  <si>
    <t>20–160</t>
  </si>
  <si>
    <t>20–120</t>
  </si>
  <si>
    <t>100–180</t>
  </si>
  <si>
    <t>FeviKwik 203 (20g)</t>
  </si>
  <si>
    <t>30–60</t>
  </si>
  <si>
    <t>Floor Cleaner Liquid (5L approx)</t>
  </si>
  <si>
    <t>170–300</t>
  </si>
  <si>
    <t>Electric Board (Extension)</t>
  </si>
  <si>
    <t>200–500</t>
  </si>
  <si>
    <t>50–400</t>
  </si>
  <si>
    <t>Floor Cleaning Cloth (Pocha)</t>
  </si>
  <si>
    <t>40–120</t>
  </si>
  <si>
    <t>Hold 31-March</t>
  </si>
  <si>
    <t>Electric Tape / Insulation Pipe</t>
  </si>
  <si>
    <t>50–250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</si>
</sst>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rgb="FFF4CC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left" vertical="top"/>
    </xf>
    <xf numFmtId="0" fontId="1" fillId="7" borderId="1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horizontal="left" vertical="top"/>
    </xf>
    <xf numFmtId="0" fontId="0" fillId="4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3" fillId="0" borderId="3" xfId="1" applyFill="1" applyBorder="1"/>
    <xf numFmtId="0" fontId="0" fillId="0" borderId="3" xfId="0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3" fillId="0" borderId="1" xfId="1" applyFill="1" applyBorder="1"/>
    <xf numFmtId="0" fontId="0" fillId="10" borderId="1" xfId="0" applyFill="1" applyBorder="1"/>
    <xf numFmtId="0" fontId="3" fillId="0" borderId="1" xfId="1" applyBorder="1"/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mzn.in/d/7KjIrI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in/d/03I5LLDx" TargetMode="External"/><Relationship Id="rId13" Type="http://schemas.openxmlformats.org/officeDocument/2006/relationships/hyperlink" Target="https://amzn.in/d/052uOz0Y" TargetMode="External"/><Relationship Id="rId3" Type="http://schemas.openxmlformats.org/officeDocument/2006/relationships/hyperlink" Target="https://amzn.in/d/086IUnqy" TargetMode="External"/><Relationship Id="rId7" Type="http://schemas.openxmlformats.org/officeDocument/2006/relationships/hyperlink" Target="https://amzn.in/d/0dZgWsAk" TargetMode="External"/><Relationship Id="rId12" Type="http://schemas.openxmlformats.org/officeDocument/2006/relationships/hyperlink" Target="https://amzn.in/d/09u93emB" TargetMode="External"/><Relationship Id="rId2" Type="http://schemas.openxmlformats.org/officeDocument/2006/relationships/hyperlink" Target="https://amzn.in/d/0bd7KI6p" TargetMode="External"/><Relationship Id="rId1" Type="http://schemas.openxmlformats.org/officeDocument/2006/relationships/hyperlink" Target="https://amzn.in/d/00Tkp3x7" TargetMode="External"/><Relationship Id="rId6" Type="http://schemas.openxmlformats.org/officeDocument/2006/relationships/hyperlink" Target="https://amzn.in/d/06fLKF62" TargetMode="External"/><Relationship Id="rId11" Type="http://schemas.openxmlformats.org/officeDocument/2006/relationships/hyperlink" Target="https://amzn.in/d/02a51Rwz" TargetMode="External"/><Relationship Id="rId5" Type="http://schemas.openxmlformats.org/officeDocument/2006/relationships/hyperlink" Target="https://amzn.in/d/08jauwsR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amzn.in/d/0cXT8y08" TargetMode="External"/><Relationship Id="rId4" Type="http://schemas.openxmlformats.org/officeDocument/2006/relationships/hyperlink" Target="https://amzn.in/d/06p8O2ZZ" TargetMode="External"/><Relationship Id="rId9" Type="http://schemas.openxmlformats.org/officeDocument/2006/relationships/hyperlink" Target="https://amzn.in/d/00kTen7S" TargetMode="External"/><Relationship Id="rId14" Type="http://schemas.openxmlformats.org/officeDocument/2006/relationships/hyperlink" Target="https://amzn.in/d/00NWWe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"/>
  <sheetViews>
    <sheetView view="pageBreakPreview" zoomScaleNormal="100" zoomScaleSheetLayoutView="100" workbookViewId="0">
      <selection activeCell="C13" sqref="C13"/>
    </sheetView>
  </sheetViews>
  <sheetFormatPr defaultRowHeight="15" x14ac:dyDescent="0.25"/>
  <cols>
    <col min="1" max="1" width="6.28515625" bestFit="1" customWidth="1"/>
    <col min="2" max="2" width="42.7109375" customWidth="1"/>
    <col min="3" max="3" width="19.7109375" customWidth="1"/>
    <col min="4" max="4" width="17.28515625" customWidth="1"/>
    <col min="5" max="5" width="2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>
        <v>1</v>
      </c>
      <c r="B2" s="2" t="s">
        <v>5</v>
      </c>
      <c r="C2" s="2" t="s">
        <v>6</v>
      </c>
      <c r="D2" s="2" t="s">
        <v>7</v>
      </c>
      <c r="E2" s="2"/>
    </row>
    <row r="3" spans="1:5" x14ac:dyDescent="0.25">
      <c r="A3" s="4">
        <v>2</v>
      </c>
      <c r="B3" s="2" t="s">
        <v>8</v>
      </c>
      <c r="C3" s="2" t="s">
        <v>6</v>
      </c>
      <c r="D3" s="2" t="s">
        <v>9</v>
      </c>
      <c r="E3" s="2"/>
    </row>
    <row r="4" spans="1:5" x14ac:dyDescent="0.25">
      <c r="A4" s="4">
        <v>3</v>
      </c>
      <c r="B4" s="2" t="s">
        <v>10</v>
      </c>
      <c r="C4" s="2" t="s">
        <v>11</v>
      </c>
      <c r="D4" s="2" t="s">
        <v>12</v>
      </c>
      <c r="E4" s="2"/>
    </row>
    <row r="5" spans="1:5" x14ac:dyDescent="0.25">
      <c r="A5" s="4">
        <v>4</v>
      </c>
      <c r="B5" s="2" t="s">
        <v>13</v>
      </c>
      <c r="C5" s="2" t="s">
        <v>14</v>
      </c>
      <c r="D5" s="2" t="s">
        <v>15</v>
      </c>
      <c r="E5" s="3" t="s">
        <v>16</v>
      </c>
    </row>
    <row r="6" spans="1:5" x14ac:dyDescent="0.25">
      <c r="A6" s="4">
        <v>5</v>
      </c>
      <c r="B6" s="2" t="s">
        <v>17</v>
      </c>
      <c r="C6" s="2" t="s">
        <v>18</v>
      </c>
      <c r="D6" s="2" t="s">
        <v>15</v>
      </c>
      <c r="E6" s="2"/>
    </row>
    <row r="7" spans="1:5" x14ac:dyDescent="0.25">
      <c r="A7" s="4">
        <v>6</v>
      </c>
      <c r="B7" s="2" t="s">
        <v>19</v>
      </c>
      <c r="C7" s="2" t="s">
        <v>20</v>
      </c>
      <c r="D7" s="2" t="s">
        <v>12</v>
      </c>
      <c r="E7" s="2"/>
    </row>
    <row r="8" spans="1:5" x14ac:dyDescent="0.25">
      <c r="A8" s="4">
        <v>7</v>
      </c>
      <c r="B8" s="2" t="s">
        <v>21</v>
      </c>
      <c r="C8" s="2" t="s">
        <v>22</v>
      </c>
      <c r="D8" s="2" t="s">
        <v>23</v>
      </c>
      <c r="E8" s="2"/>
    </row>
    <row r="9" spans="1:5" x14ac:dyDescent="0.25">
      <c r="A9" s="4">
        <v>8</v>
      </c>
      <c r="B9" s="2" t="s">
        <v>24</v>
      </c>
      <c r="C9" s="2" t="s">
        <v>25</v>
      </c>
      <c r="D9" s="2" t="s">
        <v>23</v>
      </c>
      <c r="E9" s="2"/>
    </row>
    <row r="10" spans="1:5" x14ac:dyDescent="0.25">
      <c r="A10" s="4">
        <v>9</v>
      </c>
      <c r="B10" s="2" t="s">
        <v>26</v>
      </c>
      <c r="C10" s="2" t="s">
        <v>14</v>
      </c>
      <c r="D10" s="2" t="s">
        <v>27</v>
      </c>
      <c r="E10" s="2"/>
    </row>
    <row r="11" spans="1:5" x14ac:dyDescent="0.25">
      <c r="A11" s="4">
        <v>10</v>
      </c>
      <c r="B11" s="2" t="s">
        <v>28</v>
      </c>
      <c r="C11" s="2" t="s">
        <v>29</v>
      </c>
      <c r="D11" s="2" t="s">
        <v>29</v>
      </c>
      <c r="E11" s="3" t="s">
        <v>16</v>
      </c>
    </row>
    <row r="12" spans="1:5" x14ac:dyDescent="0.25">
      <c r="A12" s="4">
        <v>11</v>
      </c>
      <c r="B12" s="2" t="s">
        <v>30</v>
      </c>
      <c r="C12" s="2" t="s">
        <v>6</v>
      </c>
      <c r="D12" s="2" t="s">
        <v>31</v>
      </c>
      <c r="E12" s="2"/>
    </row>
    <row r="13" spans="1:5" x14ac:dyDescent="0.25">
      <c r="A13" s="4">
        <v>12</v>
      </c>
      <c r="B13" s="2" t="s">
        <v>32</v>
      </c>
      <c r="C13" s="2" t="s">
        <v>33</v>
      </c>
      <c r="D13" s="2" t="s">
        <v>34</v>
      </c>
      <c r="E13" s="3" t="s">
        <v>16</v>
      </c>
    </row>
    <row r="14" spans="1:5" x14ac:dyDescent="0.25">
      <c r="A14" s="4">
        <v>13</v>
      </c>
      <c r="B14" s="2" t="s">
        <v>35</v>
      </c>
      <c r="C14" s="2" t="s">
        <v>6</v>
      </c>
      <c r="D14" s="2" t="s">
        <v>36</v>
      </c>
      <c r="E14" s="3" t="s">
        <v>16</v>
      </c>
    </row>
    <row r="15" spans="1:5" x14ac:dyDescent="0.25">
      <c r="A15" s="4">
        <v>14</v>
      </c>
      <c r="B15" s="2" t="s">
        <v>37</v>
      </c>
      <c r="C15" s="2" t="s">
        <v>6</v>
      </c>
      <c r="D15" s="2" t="s">
        <v>38</v>
      </c>
      <c r="E15" s="2"/>
    </row>
    <row r="16" spans="1:5" x14ac:dyDescent="0.25">
      <c r="A16" s="4">
        <v>15</v>
      </c>
      <c r="B16" s="2" t="s">
        <v>39</v>
      </c>
      <c r="C16" s="2" t="s">
        <v>40</v>
      </c>
      <c r="D16" s="2" t="s">
        <v>22</v>
      </c>
      <c r="E16" s="2"/>
    </row>
    <row r="17" spans="1:5" x14ac:dyDescent="0.25">
      <c r="A17" s="4">
        <v>16</v>
      </c>
      <c r="B17" s="2" t="s">
        <v>41</v>
      </c>
      <c r="C17" s="2" t="s">
        <v>6</v>
      </c>
      <c r="D17" s="2" t="s">
        <v>9</v>
      </c>
      <c r="E17" s="2"/>
    </row>
    <row r="18" spans="1:5" x14ac:dyDescent="0.25">
      <c r="A18" s="4">
        <v>17</v>
      </c>
      <c r="B18" s="2" t="s">
        <v>42</v>
      </c>
      <c r="C18" s="2" t="s">
        <v>6</v>
      </c>
      <c r="D18" s="2" t="s">
        <v>43</v>
      </c>
      <c r="E18" s="2"/>
    </row>
    <row r="19" spans="1:5" x14ac:dyDescent="0.25">
      <c r="A19" s="4">
        <v>18</v>
      </c>
      <c r="B19" s="2" t="s">
        <v>44</v>
      </c>
      <c r="C19" s="2" t="s">
        <v>45</v>
      </c>
      <c r="D19" s="2" t="s">
        <v>9</v>
      </c>
      <c r="E19" s="2"/>
    </row>
  </sheetData>
  <pageMargins left="0.75" right="0.75" top="1" bottom="1" header="0.5" footer="0.5"/>
  <pageSetup paperSize="9" fitToHeight="0" orientation="landscape" r:id="rId1"/>
  <ignoredErrors>
    <ignoredError sqref="C12:C19 D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1C5B-BBEC-41D8-9ADE-1898CF06F0DD}">
  <dimension ref="A1:J59"/>
  <sheetViews>
    <sheetView view="pageBreakPreview" zoomScale="115" zoomScaleNormal="100" zoomScaleSheetLayoutView="115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.85546875" bestFit="1" customWidth="1"/>
    <col min="2" max="2" width="26.140625" bestFit="1" customWidth="1"/>
    <col min="3" max="3" width="20.5703125" customWidth="1"/>
    <col min="4" max="4" width="35" hidden="1" customWidth="1"/>
    <col min="5" max="5" width="15.140625" bestFit="1" customWidth="1"/>
    <col min="6" max="6" width="17.5703125" customWidth="1"/>
    <col min="7" max="7" width="13.140625" bestFit="1" customWidth="1"/>
  </cols>
  <sheetData>
    <row r="1" spans="1:7" ht="30" x14ac:dyDescent="0.25">
      <c r="A1" s="5" t="s">
        <v>70</v>
      </c>
      <c r="B1" s="1" t="s">
        <v>1</v>
      </c>
      <c r="C1" s="1" t="s">
        <v>46</v>
      </c>
      <c r="D1" s="1" t="s">
        <v>121</v>
      </c>
      <c r="E1" s="1" t="s">
        <v>2</v>
      </c>
      <c r="F1" s="1" t="s">
        <v>3</v>
      </c>
      <c r="G1" s="1" t="s">
        <v>4</v>
      </c>
    </row>
    <row r="2" spans="1:7" x14ac:dyDescent="0.25">
      <c r="A2" s="4" t="s">
        <v>71</v>
      </c>
      <c r="B2" s="12" t="s">
        <v>72</v>
      </c>
      <c r="C2" s="14" t="s">
        <v>91</v>
      </c>
      <c r="D2" s="14"/>
      <c r="E2" s="2" t="s">
        <v>6</v>
      </c>
      <c r="F2" s="15">
        <v>6</v>
      </c>
      <c r="G2" s="9" t="s">
        <v>52</v>
      </c>
    </row>
    <row r="3" spans="1:7" x14ac:dyDescent="0.25">
      <c r="A3" s="4" t="s">
        <v>73</v>
      </c>
      <c r="B3" s="12" t="s">
        <v>8</v>
      </c>
      <c r="C3" s="14" t="s">
        <v>91</v>
      </c>
      <c r="D3" s="14"/>
      <c r="E3" s="2" t="s">
        <v>6</v>
      </c>
      <c r="F3" s="15">
        <v>24</v>
      </c>
      <c r="G3" s="9" t="s">
        <v>52</v>
      </c>
    </row>
    <row r="4" spans="1:7" x14ac:dyDescent="0.25">
      <c r="A4" s="6" t="s">
        <v>63</v>
      </c>
      <c r="B4" s="12" t="s">
        <v>10</v>
      </c>
      <c r="C4" s="8" t="s">
        <v>49</v>
      </c>
      <c r="D4" s="8"/>
      <c r="E4" s="8" t="s">
        <v>11</v>
      </c>
      <c r="F4" s="8" t="s">
        <v>12</v>
      </c>
      <c r="G4" s="9" t="s">
        <v>52</v>
      </c>
    </row>
    <row r="5" spans="1:7" x14ac:dyDescent="0.25">
      <c r="A5" s="4" t="s">
        <v>64</v>
      </c>
      <c r="B5" s="12" t="s">
        <v>13</v>
      </c>
      <c r="C5" s="2" t="s">
        <v>49</v>
      </c>
      <c r="D5" s="2"/>
      <c r="E5" s="2" t="s">
        <v>14</v>
      </c>
      <c r="F5" s="2" t="s">
        <v>15</v>
      </c>
      <c r="G5" s="7" t="s">
        <v>52</v>
      </c>
    </row>
    <row r="6" spans="1:7" x14ac:dyDescent="0.25">
      <c r="A6" s="4" t="s">
        <v>65</v>
      </c>
      <c r="B6" s="12" t="s">
        <v>17</v>
      </c>
      <c r="C6" s="2" t="s">
        <v>49</v>
      </c>
      <c r="D6" s="2"/>
      <c r="E6" s="2" t="s">
        <v>18</v>
      </c>
      <c r="F6" s="2" t="s">
        <v>15</v>
      </c>
      <c r="G6" s="7" t="s">
        <v>52</v>
      </c>
    </row>
    <row r="7" spans="1:7" x14ac:dyDescent="0.25">
      <c r="A7" s="4" t="s">
        <v>66</v>
      </c>
      <c r="B7" s="12" t="s">
        <v>19</v>
      </c>
      <c r="C7" s="2" t="s">
        <v>49</v>
      </c>
      <c r="D7" s="2"/>
      <c r="E7" s="2" t="s">
        <v>20</v>
      </c>
      <c r="F7" s="2" t="s">
        <v>12</v>
      </c>
      <c r="G7" s="7" t="s">
        <v>52</v>
      </c>
    </row>
    <row r="8" spans="1:7" x14ac:dyDescent="0.25">
      <c r="A8" s="4" t="s">
        <v>67</v>
      </c>
      <c r="B8" s="12" t="s">
        <v>21</v>
      </c>
      <c r="C8" s="2" t="s">
        <v>49</v>
      </c>
      <c r="D8" s="2"/>
      <c r="E8" s="2" t="s">
        <v>22</v>
      </c>
      <c r="F8" s="2" t="s">
        <v>23</v>
      </c>
      <c r="G8" s="7" t="s">
        <v>52</v>
      </c>
    </row>
    <row r="9" spans="1:7" x14ac:dyDescent="0.25">
      <c r="A9" s="4" t="s">
        <v>68</v>
      </c>
      <c r="B9" s="12" t="s">
        <v>53</v>
      </c>
      <c r="C9" s="2" t="s">
        <v>49</v>
      </c>
      <c r="D9" s="2"/>
      <c r="E9" s="2" t="s">
        <v>25</v>
      </c>
      <c r="F9" s="2" t="s">
        <v>54</v>
      </c>
      <c r="G9" s="7" t="s">
        <v>52</v>
      </c>
    </row>
    <row r="10" spans="1:7" x14ac:dyDescent="0.25">
      <c r="A10" s="4" t="s">
        <v>76</v>
      </c>
      <c r="B10" s="12" t="s">
        <v>75</v>
      </c>
      <c r="C10" s="2" t="s">
        <v>96</v>
      </c>
      <c r="D10" s="2"/>
      <c r="E10" s="2" t="s">
        <v>14</v>
      </c>
      <c r="F10" s="2" t="s">
        <v>97</v>
      </c>
      <c r="G10" s="7" t="s">
        <v>52</v>
      </c>
    </row>
    <row r="11" spans="1:7" x14ac:dyDescent="0.25">
      <c r="A11" s="4" t="s">
        <v>84</v>
      </c>
      <c r="B11" s="12" t="s">
        <v>28</v>
      </c>
      <c r="C11" s="14" t="s">
        <v>91</v>
      </c>
      <c r="D11" s="14"/>
      <c r="E11" s="2" t="s">
        <v>29</v>
      </c>
      <c r="F11" s="15">
        <v>20</v>
      </c>
      <c r="G11" s="7" t="s">
        <v>52</v>
      </c>
    </row>
    <row r="12" spans="1:7" x14ac:dyDescent="0.25">
      <c r="A12" s="4" t="s">
        <v>79</v>
      </c>
      <c r="B12" s="12" t="s">
        <v>30</v>
      </c>
      <c r="C12" s="2" t="s">
        <v>48</v>
      </c>
      <c r="D12" s="2"/>
      <c r="E12" s="2" t="s">
        <v>6</v>
      </c>
      <c r="F12" s="2" t="s">
        <v>31</v>
      </c>
      <c r="G12" s="16" t="s">
        <v>98</v>
      </c>
    </row>
    <row r="13" spans="1:7" x14ac:dyDescent="0.25">
      <c r="A13" s="6" t="s">
        <v>69</v>
      </c>
      <c r="B13" s="12" t="s">
        <v>37</v>
      </c>
      <c r="C13" s="8" t="s">
        <v>49</v>
      </c>
      <c r="D13" s="8"/>
      <c r="E13" s="8" t="s">
        <v>6</v>
      </c>
      <c r="F13" s="8" t="s">
        <v>38</v>
      </c>
      <c r="G13" s="9" t="s">
        <v>52</v>
      </c>
    </row>
    <row r="14" spans="1:7" x14ac:dyDescent="0.25">
      <c r="A14" s="4" t="s">
        <v>92</v>
      </c>
      <c r="B14" s="12" t="s">
        <v>39</v>
      </c>
      <c r="C14" s="2" t="s">
        <v>95</v>
      </c>
      <c r="D14" s="2"/>
      <c r="E14" s="2" t="s">
        <v>40</v>
      </c>
      <c r="F14" s="2" t="s">
        <v>22</v>
      </c>
      <c r="G14" s="9" t="s">
        <v>52</v>
      </c>
    </row>
    <row r="15" spans="1:7" x14ac:dyDescent="0.25">
      <c r="A15" s="4" t="s">
        <v>77</v>
      </c>
      <c r="B15" s="12" t="s">
        <v>41</v>
      </c>
      <c r="C15" s="14" t="s">
        <v>48</v>
      </c>
      <c r="D15" s="14"/>
      <c r="E15" s="2" t="s">
        <v>6</v>
      </c>
      <c r="F15" s="2" t="s">
        <v>9</v>
      </c>
      <c r="G15" s="16" t="s">
        <v>98</v>
      </c>
    </row>
    <row r="16" spans="1:7" x14ac:dyDescent="0.25">
      <c r="A16" s="10" t="s">
        <v>78</v>
      </c>
      <c r="B16" s="12" t="s">
        <v>42</v>
      </c>
      <c r="C16" s="8" t="s">
        <v>49</v>
      </c>
      <c r="D16" s="8"/>
      <c r="E16" s="8" t="s">
        <v>6</v>
      </c>
      <c r="F16" s="8" t="s">
        <v>43</v>
      </c>
      <c r="G16" s="9" t="s">
        <v>52</v>
      </c>
    </row>
    <row r="17" spans="1:10" x14ac:dyDescent="0.25">
      <c r="A17" s="4" t="s">
        <v>74</v>
      </c>
      <c r="B17" s="12" t="s">
        <v>44</v>
      </c>
      <c r="C17" s="14" t="s">
        <v>48</v>
      </c>
      <c r="D17" s="14"/>
      <c r="E17" s="2" t="s">
        <v>45</v>
      </c>
      <c r="F17" s="2" t="s">
        <v>9</v>
      </c>
      <c r="G17" s="16" t="s">
        <v>98</v>
      </c>
    </row>
    <row r="18" spans="1:10" x14ac:dyDescent="0.25">
      <c r="A18" s="10" t="s">
        <v>81</v>
      </c>
      <c r="B18" s="12" t="s">
        <v>80</v>
      </c>
      <c r="C18" s="8" t="s">
        <v>49</v>
      </c>
      <c r="D18" s="8"/>
      <c r="E18" s="8" t="s">
        <v>50</v>
      </c>
      <c r="F18" s="8" t="s">
        <v>51</v>
      </c>
      <c r="G18" s="9" t="s">
        <v>52</v>
      </c>
    </row>
    <row r="19" spans="1:10" x14ac:dyDescent="0.25">
      <c r="A19" s="4" t="s">
        <v>82</v>
      </c>
      <c r="B19" s="12" t="s">
        <v>94</v>
      </c>
      <c r="C19" s="2" t="s">
        <v>95</v>
      </c>
      <c r="D19" s="2"/>
      <c r="E19" s="2" t="s">
        <v>55</v>
      </c>
      <c r="F19" s="2" t="s">
        <v>25</v>
      </c>
      <c r="G19" s="9" t="s">
        <v>52</v>
      </c>
    </row>
    <row r="20" spans="1:10" x14ac:dyDescent="0.25">
      <c r="A20" s="4" t="s">
        <v>83</v>
      </c>
      <c r="B20" s="12" t="s">
        <v>56</v>
      </c>
      <c r="C20" s="2" t="s">
        <v>95</v>
      </c>
      <c r="D20" s="2"/>
      <c r="E20" s="2" t="s">
        <v>57</v>
      </c>
      <c r="F20" s="2" t="s">
        <v>25</v>
      </c>
      <c r="G20" s="9" t="s">
        <v>52</v>
      </c>
    </row>
    <row r="21" spans="1:10" x14ac:dyDescent="0.25">
      <c r="A21" s="4" t="s">
        <v>93</v>
      </c>
      <c r="B21" s="12" t="s">
        <v>58</v>
      </c>
      <c r="C21" s="2" t="s">
        <v>95</v>
      </c>
      <c r="D21" s="2"/>
      <c r="E21" s="2" t="s">
        <v>57</v>
      </c>
      <c r="F21" s="2" t="s">
        <v>22</v>
      </c>
      <c r="G21" s="9" t="s">
        <v>52</v>
      </c>
    </row>
    <row r="22" spans="1:10" x14ac:dyDescent="0.25">
      <c r="A22" s="4" t="s">
        <v>85</v>
      </c>
      <c r="B22" s="12" t="s">
        <v>59</v>
      </c>
      <c r="C22" s="2" t="s">
        <v>95</v>
      </c>
      <c r="D22" s="2"/>
      <c r="E22" s="2" t="s">
        <v>60</v>
      </c>
      <c r="F22" s="2" t="s">
        <v>61</v>
      </c>
      <c r="G22" s="9" t="s">
        <v>52</v>
      </c>
    </row>
    <row r="23" spans="1:10" x14ac:dyDescent="0.25">
      <c r="A23" s="4" t="s">
        <v>86</v>
      </c>
      <c r="B23" s="12" t="s">
        <v>62</v>
      </c>
      <c r="C23" s="2" t="s">
        <v>95</v>
      </c>
      <c r="D23" s="2"/>
      <c r="E23" s="2" t="s">
        <v>40</v>
      </c>
      <c r="F23" s="2" t="s">
        <v>25</v>
      </c>
      <c r="G23" s="9" t="s">
        <v>52</v>
      </c>
    </row>
    <row r="24" spans="1:10" x14ac:dyDescent="0.25">
      <c r="A24" s="4" t="s">
        <v>84</v>
      </c>
      <c r="B24" s="12" t="s">
        <v>87</v>
      </c>
      <c r="C24" s="2" t="s">
        <v>47</v>
      </c>
      <c r="D24" s="2"/>
      <c r="E24" s="2">
        <v>0</v>
      </c>
      <c r="F24" s="2" t="s">
        <v>88</v>
      </c>
      <c r="G24" s="16" t="s">
        <v>98</v>
      </c>
    </row>
    <row r="25" spans="1:10" x14ac:dyDescent="0.25">
      <c r="A25" s="4" t="s">
        <v>84</v>
      </c>
      <c r="B25" s="12" t="s">
        <v>89</v>
      </c>
      <c r="C25" s="14" t="s">
        <v>48</v>
      </c>
      <c r="D25" s="14"/>
      <c r="E25" s="11">
        <v>0</v>
      </c>
      <c r="F25" s="2" t="s">
        <v>20</v>
      </c>
      <c r="G25" s="16" t="s">
        <v>98</v>
      </c>
    </row>
    <row r="26" spans="1:10" ht="30" x14ac:dyDescent="0.25">
      <c r="A26" s="4" t="s">
        <v>84</v>
      </c>
      <c r="B26" s="12" t="s">
        <v>90</v>
      </c>
      <c r="C26" s="13" t="s">
        <v>91</v>
      </c>
      <c r="D26" s="13"/>
      <c r="E26" s="11">
        <v>0</v>
      </c>
      <c r="F26" s="15">
        <v>5</v>
      </c>
      <c r="G26" s="9" t="s">
        <v>52</v>
      </c>
    </row>
    <row r="27" spans="1:10" x14ac:dyDescent="0.25">
      <c r="A27" s="19"/>
      <c r="B27" s="20"/>
      <c r="C27" s="21"/>
      <c r="D27" s="21"/>
      <c r="E27" s="11"/>
      <c r="F27" s="22"/>
      <c r="G27" s="23"/>
    </row>
    <row r="28" spans="1:10" x14ac:dyDescent="0.25">
      <c r="A28" s="4" t="s">
        <v>103</v>
      </c>
      <c r="B28" s="11" t="s">
        <v>104</v>
      </c>
      <c r="C28" s="14" t="s">
        <v>91</v>
      </c>
      <c r="D28" s="14"/>
      <c r="E28" s="11">
        <v>2</v>
      </c>
      <c r="F28" s="11" t="s">
        <v>107</v>
      </c>
      <c r="G28" s="9" t="s">
        <v>52</v>
      </c>
    </row>
    <row r="29" spans="1:10" x14ac:dyDescent="0.25">
      <c r="A29" s="17" t="s">
        <v>110</v>
      </c>
      <c r="B29" s="18" t="s">
        <v>111</v>
      </c>
      <c r="C29" s="14" t="s">
        <v>91</v>
      </c>
      <c r="D29" s="24"/>
      <c r="E29" s="18">
        <v>0</v>
      </c>
      <c r="F29" t="s">
        <v>112</v>
      </c>
      <c r="G29" s="9" t="s">
        <v>52</v>
      </c>
    </row>
    <row r="30" spans="1:10" x14ac:dyDescent="0.25">
      <c r="A30" s="4" t="s">
        <v>99</v>
      </c>
      <c r="B30" s="11" t="s">
        <v>100</v>
      </c>
      <c r="C30" s="11" t="s">
        <v>49</v>
      </c>
      <c r="D30" s="11"/>
      <c r="E30" s="11">
        <v>1</v>
      </c>
      <c r="F30" s="11" t="s">
        <v>109</v>
      </c>
      <c r="G30" s="9" t="s">
        <v>52</v>
      </c>
    </row>
    <row r="31" spans="1:10" x14ac:dyDescent="0.25">
      <c r="A31" s="4" t="s">
        <v>101</v>
      </c>
      <c r="B31" s="11" t="s">
        <v>102</v>
      </c>
      <c r="C31" s="11" t="s">
        <v>113</v>
      </c>
      <c r="D31" s="11"/>
      <c r="E31" s="11">
        <v>1</v>
      </c>
      <c r="F31" s="11" t="s">
        <v>108</v>
      </c>
      <c r="G31" s="11" t="s">
        <v>115</v>
      </c>
    </row>
    <row r="32" spans="1:10" x14ac:dyDescent="0.25">
      <c r="A32" s="4" t="s">
        <v>105</v>
      </c>
      <c r="B32" s="11" t="s">
        <v>106</v>
      </c>
      <c r="C32" s="11" t="s">
        <v>49</v>
      </c>
      <c r="D32" s="11"/>
      <c r="E32" s="11">
        <v>4</v>
      </c>
      <c r="F32" s="11" t="s">
        <v>12</v>
      </c>
      <c r="G32" s="11" t="s">
        <v>115</v>
      </c>
      <c r="J32" t="s">
        <v>114</v>
      </c>
    </row>
    <row r="33" spans="1:7" x14ac:dyDescent="0.25">
      <c r="A33" s="17" t="s">
        <v>110</v>
      </c>
      <c r="B33" t="s">
        <v>116</v>
      </c>
      <c r="C33" s="18" t="s">
        <v>120</v>
      </c>
      <c r="D33" s="25" t="s">
        <v>122</v>
      </c>
      <c r="E33" s="18">
        <v>1</v>
      </c>
      <c r="F33">
        <v>2</v>
      </c>
      <c r="G33" s="18" t="s">
        <v>16</v>
      </c>
    </row>
    <row r="34" spans="1:7" x14ac:dyDescent="0.25">
      <c r="A34" s="17" t="s">
        <v>110</v>
      </c>
      <c r="B34" t="s">
        <v>117</v>
      </c>
      <c r="C34" s="18" t="s">
        <v>120</v>
      </c>
      <c r="D34" s="25" t="s">
        <v>123</v>
      </c>
      <c r="E34" s="18">
        <v>0</v>
      </c>
      <c r="F34">
        <v>2</v>
      </c>
      <c r="G34" s="9" t="s">
        <v>52</v>
      </c>
    </row>
    <row r="35" spans="1:7" x14ac:dyDescent="0.25">
      <c r="A35" s="17" t="s">
        <v>110</v>
      </c>
      <c r="B35" t="s">
        <v>118</v>
      </c>
      <c r="C35" s="18" t="s">
        <v>120</v>
      </c>
      <c r="D35" s="25" t="s">
        <v>124</v>
      </c>
      <c r="E35" s="18">
        <v>0</v>
      </c>
      <c r="F35">
        <v>12</v>
      </c>
      <c r="G35" s="18" t="s">
        <v>16</v>
      </c>
    </row>
    <row r="36" spans="1:7" x14ac:dyDescent="0.25">
      <c r="A36" s="17" t="s">
        <v>110</v>
      </c>
      <c r="B36" t="s">
        <v>119</v>
      </c>
      <c r="C36" s="18" t="s">
        <v>120</v>
      </c>
      <c r="D36" s="25" t="s">
        <v>125</v>
      </c>
      <c r="E36" s="18">
        <v>0</v>
      </c>
      <c r="F36">
        <v>12</v>
      </c>
      <c r="G36" s="18" t="s">
        <v>16</v>
      </c>
    </row>
    <row r="37" spans="1:7" x14ac:dyDescent="0.25">
      <c r="A37" s="17" t="s">
        <v>110</v>
      </c>
      <c r="B37" t="s">
        <v>126</v>
      </c>
      <c r="C37" s="18" t="s">
        <v>120</v>
      </c>
      <c r="E37" s="18">
        <v>12</v>
      </c>
      <c r="F37">
        <v>16</v>
      </c>
      <c r="G37" s="9" t="s">
        <v>52</v>
      </c>
    </row>
    <row r="38" spans="1:7" x14ac:dyDescent="0.25">
      <c r="A38" s="19"/>
      <c r="B38" s="20"/>
      <c r="C38" s="21"/>
      <c r="D38" s="21"/>
      <c r="E38" s="11"/>
      <c r="F38" s="22"/>
      <c r="G38" s="23"/>
    </row>
    <row r="39" spans="1:7" x14ac:dyDescent="0.25">
      <c r="B39" t="s">
        <v>127</v>
      </c>
      <c r="C39" s="18" t="s">
        <v>137</v>
      </c>
      <c r="E39" s="18">
        <v>0</v>
      </c>
      <c r="F39">
        <v>3</v>
      </c>
    </row>
    <row r="40" spans="1:7" x14ac:dyDescent="0.25">
      <c r="B40" t="s">
        <v>131</v>
      </c>
      <c r="C40" s="18" t="s">
        <v>137</v>
      </c>
      <c r="E40">
        <v>1</v>
      </c>
      <c r="F40">
        <v>3</v>
      </c>
    </row>
    <row r="41" spans="1:7" x14ac:dyDescent="0.25">
      <c r="B41" t="s">
        <v>128</v>
      </c>
      <c r="C41" s="18" t="s">
        <v>120</v>
      </c>
      <c r="E41">
        <v>0</v>
      </c>
      <c r="F41">
        <v>12</v>
      </c>
    </row>
    <row r="42" spans="1:7" x14ac:dyDescent="0.25">
      <c r="B42" t="s">
        <v>129</v>
      </c>
      <c r="C42" s="18" t="s">
        <v>120</v>
      </c>
      <c r="E42">
        <v>0</v>
      </c>
      <c r="F42">
        <v>12</v>
      </c>
    </row>
    <row r="43" spans="1:7" x14ac:dyDescent="0.25">
      <c r="B43" t="s">
        <v>130</v>
      </c>
      <c r="C43" s="18" t="s">
        <v>120</v>
      </c>
      <c r="E43">
        <v>0</v>
      </c>
      <c r="F43">
        <v>12</v>
      </c>
    </row>
    <row r="44" spans="1:7" x14ac:dyDescent="0.25">
      <c r="B44" t="s">
        <v>132</v>
      </c>
      <c r="C44" s="18" t="s">
        <v>120</v>
      </c>
      <c r="E44">
        <v>0</v>
      </c>
      <c r="F44">
        <v>12</v>
      </c>
    </row>
    <row r="45" spans="1:7" x14ac:dyDescent="0.25">
      <c r="A45" s="4" t="s">
        <v>68</v>
      </c>
      <c r="B45" s="12" t="s">
        <v>53</v>
      </c>
      <c r="C45" s="2" t="s">
        <v>49</v>
      </c>
      <c r="E45">
        <v>4</v>
      </c>
      <c r="F45">
        <v>10</v>
      </c>
    </row>
    <row r="46" spans="1:7" x14ac:dyDescent="0.25">
      <c r="B46" s="12" t="s">
        <v>133</v>
      </c>
      <c r="C46" s="2" t="s">
        <v>49</v>
      </c>
      <c r="E46">
        <v>0</v>
      </c>
      <c r="F46">
        <v>100</v>
      </c>
    </row>
    <row r="47" spans="1:7" x14ac:dyDescent="0.25">
      <c r="A47" t="s">
        <v>134</v>
      </c>
      <c r="B47" t="s">
        <v>135</v>
      </c>
      <c r="C47" s="18" t="s">
        <v>120</v>
      </c>
      <c r="E47">
        <v>3</v>
      </c>
      <c r="F47">
        <v>24</v>
      </c>
    </row>
    <row r="48" spans="1:7" x14ac:dyDescent="0.25">
      <c r="A48" s="4" t="s">
        <v>67</v>
      </c>
      <c r="B48" s="12" t="s">
        <v>21</v>
      </c>
      <c r="C48" s="2" t="s">
        <v>49</v>
      </c>
      <c r="D48" s="2"/>
      <c r="E48" s="2">
        <v>6</v>
      </c>
      <c r="F48" s="26">
        <v>10</v>
      </c>
    </row>
    <row r="49" spans="1:6" x14ac:dyDescent="0.25">
      <c r="B49" s="27" t="s">
        <v>136</v>
      </c>
      <c r="C49" s="26" t="s">
        <v>120</v>
      </c>
      <c r="E49">
        <v>7</v>
      </c>
    </row>
    <row r="50" spans="1:6" x14ac:dyDescent="0.25">
      <c r="A50" t="s">
        <v>73</v>
      </c>
      <c r="B50" t="s">
        <v>126</v>
      </c>
      <c r="C50" s="26" t="s">
        <v>120</v>
      </c>
      <c r="E50">
        <v>26</v>
      </c>
    </row>
    <row r="51" spans="1:6" x14ac:dyDescent="0.25">
      <c r="A51" t="s">
        <v>139</v>
      </c>
      <c r="B51" s="27" t="s">
        <v>138</v>
      </c>
      <c r="C51" s="26" t="s">
        <v>120</v>
      </c>
      <c r="E51">
        <v>0</v>
      </c>
    </row>
    <row r="52" spans="1:6" x14ac:dyDescent="0.25">
      <c r="A52" t="s">
        <v>140</v>
      </c>
      <c r="B52" s="27" t="s">
        <v>141</v>
      </c>
      <c r="C52" s="26" t="s">
        <v>120</v>
      </c>
      <c r="E52">
        <v>7</v>
      </c>
    </row>
    <row r="53" spans="1:6" x14ac:dyDescent="0.25">
      <c r="A53" t="s">
        <v>145</v>
      </c>
      <c r="B53" s="27" t="s">
        <v>142</v>
      </c>
      <c r="C53" t="s">
        <v>120</v>
      </c>
      <c r="E53">
        <v>0</v>
      </c>
    </row>
    <row r="54" spans="1:6" x14ac:dyDescent="0.25">
      <c r="B54" s="27" t="s">
        <v>143</v>
      </c>
      <c r="C54" t="s">
        <v>144</v>
      </c>
      <c r="E54">
        <v>0</v>
      </c>
    </row>
    <row r="55" spans="1:6" x14ac:dyDescent="0.25">
      <c r="B55" s="27" t="s">
        <v>146</v>
      </c>
      <c r="C55" s="28" t="s">
        <v>144</v>
      </c>
      <c r="E55">
        <v>0</v>
      </c>
    </row>
    <row r="56" spans="1:6" x14ac:dyDescent="0.25">
      <c r="A56" s="4" t="s">
        <v>101</v>
      </c>
      <c r="B56" s="11" t="s">
        <v>102</v>
      </c>
      <c r="C56" s="11" t="s">
        <v>113</v>
      </c>
      <c r="D56" s="11"/>
      <c r="E56" s="11">
        <v>0</v>
      </c>
      <c r="F56" s="11" t="s">
        <v>108</v>
      </c>
    </row>
    <row r="57" spans="1:6" x14ac:dyDescent="0.25">
      <c r="A57" t="s">
        <v>151</v>
      </c>
      <c r="B57" s="27" t="s">
        <v>147</v>
      </c>
      <c r="C57" t="s">
        <v>144</v>
      </c>
      <c r="E57">
        <v>0</v>
      </c>
      <c r="F57">
        <v>100</v>
      </c>
    </row>
    <row r="58" spans="1:6" x14ac:dyDescent="0.25">
      <c r="A58" t="s">
        <v>149</v>
      </c>
      <c r="B58" s="27" t="s">
        <v>148</v>
      </c>
      <c r="C58" t="s">
        <v>137</v>
      </c>
      <c r="E58">
        <v>0</v>
      </c>
      <c r="F58">
        <v>1</v>
      </c>
    </row>
    <row r="59" spans="1:6" x14ac:dyDescent="0.25">
      <c r="B59" s="27" t="s">
        <v>150</v>
      </c>
      <c r="C59" t="s">
        <v>120</v>
      </c>
      <c r="E59">
        <v>0</v>
      </c>
      <c r="F59">
        <v>2</v>
      </c>
    </row>
  </sheetData>
  <autoFilter ref="A1:G37" xr:uid="{36971C5B-BBEC-41D8-9ADE-1898CF06F0DD}"/>
  <phoneticPr fontId="2" type="noConversion"/>
  <hyperlinks>
    <hyperlink ref="D36" r:id="rId1" xr:uid="{332F58C2-D66B-4CDB-8D30-22D4A22EE7FF}"/>
  </hyperlinks>
  <pageMargins left="0.7" right="0.7" top="0.75" bottom="0.75" header="0.3" footer="0.3"/>
  <pageSetup paperSize="9" scale="57" orientation="portrait" r:id="rId2"/>
  <ignoredErrors>
    <ignoredError sqref="E2:E12 E13:E17" numberStoredAsText="1"/>
    <ignoredError sqref="H20:XFD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DE1B-322A-4C7A-8524-7415FB7AC8F8}">
  <sheetPr filterMode="1">
    <pageSetUpPr fitToPage="1"/>
  </sheetPr>
  <dimension ref="A1:J35"/>
  <sheetViews>
    <sheetView tabSelected="1" view="pageBreakPreview" zoomScale="130" zoomScaleNormal="100" zoomScaleSheetLayoutView="130" workbookViewId="0">
      <pane ySplit="1" topLeftCell="A2" activePane="bottomLeft" state="frozen"/>
      <selection pane="bottomLeft" activeCell="I34" sqref="I24:I34"/>
    </sheetView>
  </sheetViews>
  <sheetFormatPr defaultRowHeight="15" x14ac:dyDescent="0.25"/>
  <cols>
    <col min="1" max="1" width="10.85546875" bestFit="1" customWidth="1"/>
    <col min="2" max="2" width="26.140625" bestFit="1" customWidth="1"/>
    <col min="3" max="3" width="20.5703125" hidden="1" customWidth="1"/>
    <col min="4" max="4" width="29" hidden="1" customWidth="1"/>
    <col min="5" max="5" width="12.42578125" hidden="1" customWidth="1"/>
    <col min="6" max="6" width="12.42578125" customWidth="1"/>
    <col min="7" max="9" width="17.5703125" style="31" customWidth="1"/>
    <col min="10" max="10" width="16.7109375" bestFit="1" customWidth="1"/>
  </cols>
  <sheetData>
    <row r="1" spans="1:10" ht="30" x14ac:dyDescent="0.25">
      <c r="A1" s="5" t="s">
        <v>70</v>
      </c>
      <c r="B1" s="1" t="s">
        <v>1</v>
      </c>
      <c r="C1" s="1" t="s">
        <v>46</v>
      </c>
      <c r="D1" s="1" t="s">
        <v>121</v>
      </c>
      <c r="E1" s="1" t="s">
        <v>2</v>
      </c>
      <c r="F1" s="1" t="s">
        <v>192</v>
      </c>
      <c r="G1" s="1" t="s">
        <v>3</v>
      </c>
      <c r="H1" s="1" t="s">
        <v>190</v>
      </c>
      <c r="I1" s="1" t="s">
        <v>191</v>
      </c>
      <c r="J1" s="1" t="s">
        <v>4</v>
      </c>
    </row>
    <row r="2" spans="1:10" x14ac:dyDescent="0.25">
      <c r="A2" s="4" t="s">
        <v>73</v>
      </c>
      <c r="B2" s="12" t="s">
        <v>8</v>
      </c>
      <c r="C2" s="14" t="s">
        <v>91</v>
      </c>
      <c r="D2" s="11"/>
      <c r="E2" s="30">
        <v>26</v>
      </c>
      <c r="F2" s="30" t="s">
        <v>186</v>
      </c>
      <c r="G2" s="29">
        <v>100</v>
      </c>
      <c r="H2" s="29">
        <v>28</v>
      </c>
      <c r="I2" s="29">
        <f>G2*H2</f>
        <v>2800</v>
      </c>
      <c r="J2" s="32"/>
    </row>
    <row r="3" spans="1:10" x14ac:dyDescent="0.25">
      <c r="A3" s="4" t="s">
        <v>67</v>
      </c>
      <c r="B3" s="12" t="s">
        <v>21</v>
      </c>
      <c r="C3" s="2" t="s">
        <v>49</v>
      </c>
      <c r="D3" s="11"/>
      <c r="E3" s="30">
        <v>6</v>
      </c>
      <c r="F3" s="30" t="s">
        <v>170</v>
      </c>
      <c r="G3" s="4">
        <v>12</v>
      </c>
      <c r="H3" s="4">
        <v>183</v>
      </c>
      <c r="I3" s="29">
        <f>G3*H3</f>
        <v>2196</v>
      </c>
      <c r="J3" s="33"/>
    </row>
    <row r="4" spans="1:10" hidden="1" x14ac:dyDescent="0.25">
      <c r="A4" s="4" t="s">
        <v>76</v>
      </c>
      <c r="B4" s="12" t="s">
        <v>158</v>
      </c>
      <c r="C4" s="2" t="s">
        <v>96</v>
      </c>
      <c r="D4" s="11"/>
      <c r="E4" s="30">
        <v>0</v>
      </c>
      <c r="F4" s="30" t="s">
        <v>193</v>
      </c>
      <c r="G4" s="4">
        <v>20</v>
      </c>
      <c r="H4" s="4">
        <v>400</v>
      </c>
      <c r="I4" s="29">
        <f t="shared" ref="I4:I25" si="0">G4*H4</f>
        <v>8000</v>
      </c>
      <c r="J4" s="33"/>
    </row>
    <row r="5" spans="1:10" hidden="1" x14ac:dyDescent="0.25">
      <c r="A5" s="4" t="s">
        <v>84</v>
      </c>
      <c r="B5" s="12" t="s">
        <v>152</v>
      </c>
      <c r="C5" s="36" t="s">
        <v>159</v>
      </c>
      <c r="D5" s="37" t="s">
        <v>181</v>
      </c>
      <c r="E5" s="30" t="s">
        <v>29</v>
      </c>
      <c r="F5" s="30" t="s">
        <v>186</v>
      </c>
      <c r="G5" s="29">
        <v>100</v>
      </c>
      <c r="H5" s="29">
        <v>47.53</v>
      </c>
      <c r="I5" s="29">
        <f t="shared" si="0"/>
        <v>4753</v>
      </c>
      <c r="J5" s="33"/>
    </row>
    <row r="6" spans="1:10" hidden="1" x14ac:dyDescent="0.25">
      <c r="A6" s="4" t="s">
        <v>77</v>
      </c>
      <c r="B6" s="12" t="s">
        <v>41</v>
      </c>
      <c r="C6" s="36" t="s">
        <v>159</v>
      </c>
      <c r="D6" s="35" t="s">
        <v>162</v>
      </c>
      <c r="E6" s="30" t="s">
        <v>6</v>
      </c>
      <c r="F6" s="30" t="s">
        <v>186</v>
      </c>
      <c r="G6" s="4">
        <v>20</v>
      </c>
      <c r="H6" s="4"/>
      <c r="I6" s="29">
        <f t="shared" si="0"/>
        <v>0</v>
      </c>
      <c r="J6" s="34"/>
    </row>
    <row r="7" spans="1:10" x14ac:dyDescent="0.25">
      <c r="A7" s="4" t="s">
        <v>84</v>
      </c>
      <c r="B7" s="12" t="s">
        <v>87</v>
      </c>
      <c r="C7" s="14" t="s">
        <v>91</v>
      </c>
      <c r="D7" s="2"/>
      <c r="E7" s="30">
        <v>0</v>
      </c>
      <c r="F7" s="30" t="s">
        <v>194</v>
      </c>
      <c r="G7" s="4">
        <v>5</v>
      </c>
      <c r="H7" s="4"/>
      <c r="I7" s="29">
        <f t="shared" si="0"/>
        <v>0</v>
      </c>
      <c r="J7" s="34"/>
    </row>
    <row r="8" spans="1:10" x14ac:dyDescent="0.25">
      <c r="A8" s="4" t="s">
        <v>84</v>
      </c>
      <c r="B8" s="12" t="s">
        <v>89</v>
      </c>
      <c r="C8" s="14" t="s">
        <v>91</v>
      </c>
      <c r="D8" s="11"/>
      <c r="E8" s="30">
        <v>0</v>
      </c>
      <c r="F8" s="30" t="s">
        <v>186</v>
      </c>
      <c r="G8" s="4">
        <v>100</v>
      </c>
      <c r="H8" s="4">
        <v>8</v>
      </c>
      <c r="I8" s="29">
        <f t="shared" si="0"/>
        <v>800</v>
      </c>
      <c r="J8" s="34"/>
    </row>
    <row r="9" spans="1:10" x14ac:dyDescent="0.25">
      <c r="A9" s="4" t="s">
        <v>105</v>
      </c>
      <c r="B9" s="11" t="s">
        <v>106</v>
      </c>
      <c r="C9" s="11" t="s">
        <v>49</v>
      </c>
      <c r="D9" s="11"/>
      <c r="E9" s="30">
        <v>4</v>
      </c>
      <c r="F9" s="30" t="s">
        <v>186</v>
      </c>
      <c r="G9" s="30">
        <v>100</v>
      </c>
      <c r="H9" s="30"/>
      <c r="I9" s="29">
        <f t="shared" si="0"/>
        <v>0</v>
      </c>
      <c r="J9" s="32"/>
    </row>
    <row r="10" spans="1:10" hidden="1" x14ac:dyDescent="0.25">
      <c r="A10" s="4" t="s">
        <v>110</v>
      </c>
      <c r="B10" s="11" t="s">
        <v>116</v>
      </c>
      <c r="C10" s="36" t="s">
        <v>159</v>
      </c>
      <c r="D10" s="35" t="s">
        <v>122</v>
      </c>
      <c r="E10" s="30">
        <v>1</v>
      </c>
      <c r="F10" s="30" t="s">
        <v>186</v>
      </c>
      <c r="G10" s="30">
        <v>20</v>
      </c>
      <c r="H10" s="30"/>
      <c r="I10" s="29">
        <f t="shared" si="0"/>
        <v>0</v>
      </c>
      <c r="J10" s="32"/>
    </row>
    <row r="11" spans="1:10" hidden="1" x14ac:dyDescent="0.25">
      <c r="A11" s="4" t="s">
        <v>110</v>
      </c>
      <c r="B11" s="11" t="s">
        <v>118</v>
      </c>
      <c r="C11" s="36" t="s">
        <v>159</v>
      </c>
      <c r="D11" s="35" t="s">
        <v>124</v>
      </c>
      <c r="E11" s="30">
        <v>0</v>
      </c>
      <c r="F11" s="30" t="s">
        <v>186</v>
      </c>
      <c r="G11" s="30">
        <v>20</v>
      </c>
      <c r="H11" s="30"/>
      <c r="I11" s="29">
        <f t="shared" si="0"/>
        <v>0</v>
      </c>
      <c r="J11" s="32"/>
    </row>
    <row r="12" spans="1:10" hidden="1" x14ac:dyDescent="0.25">
      <c r="A12" s="4" t="s">
        <v>110</v>
      </c>
      <c r="B12" s="11" t="s">
        <v>127</v>
      </c>
      <c r="C12" s="11" t="s">
        <v>137</v>
      </c>
      <c r="D12" s="11"/>
      <c r="E12" s="30">
        <v>0</v>
      </c>
      <c r="F12" s="30" t="s">
        <v>186</v>
      </c>
      <c r="G12" s="30">
        <v>5</v>
      </c>
      <c r="H12" s="30"/>
      <c r="I12" s="29">
        <f t="shared" si="0"/>
        <v>0</v>
      </c>
      <c r="J12" s="11" t="s">
        <v>160</v>
      </c>
    </row>
    <row r="13" spans="1:10" hidden="1" x14ac:dyDescent="0.25">
      <c r="A13" s="4" t="s">
        <v>110</v>
      </c>
      <c r="B13" s="11" t="s">
        <v>131</v>
      </c>
      <c r="C13" s="11" t="s">
        <v>137</v>
      </c>
      <c r="D13" s="11"/>
      <c r="E13" s="30">
        <v>1</v>
      </c>
      <c r="F13" s="30" t="s">
        <v>186</v>
      </c>
      <c r="G13" s="30">
        <v>5</v>
      </c>
      <c r="H13" s="30"/>
      <c r="I13" s="29">
        <f t="shared" si="0"/>
        <v>0</v>
      </c>
      <c r="J13" s="11" t="s">
        <v>160</v>
      </c>
    </row>
    <row r="14" spans="1:10" hidden="1" x14ac:dyDescent="0.25">
      <c r="A14" s="4" t="s">
        <v>110</v>
      </c>
      <c r="B14" s="11" t="s">
        <v>128</v>
      </c>
      <c r="C14" s="36" t="s">
        <v>159</v>
      </c>
      <c r="D14" s="37" t="s">
        <v>163</v>
      </c>
      <c r="E14" s="30">
        <v>0</v>
      </c>
      <c r="F14" s="30" t="s">
        <v>186</v>
      </c>
      <c r="G14" s="30">
        <v>20</v>
      </c>
      <c r="H14" s="30"/>
      <c r="I14" s="29">
        <f t="shared" si="0"/>
        <v>0</v>
      </c>
      <c r="J14" s="32"/>
    </row>
    <row r="15" spans="1:10" hidden="1" x14ac:dyDescent="0.25">
      <c r="A15" s="4" t="s">
        <v>110</v>
      </c>
      <c r="B15" s="11" t="s">
        <v>129</v>
      </c>
      <c r="C15" s="36" t="s">
        <v>159</v>
      </c>
      <c r="D15" s="37" t="s">
        <v>164</v>
      </c>
      <c r="E15" s="30">
        <v>0</v>
      </c>
      <c r="F15" s="30" t="s">
        <v>186</v>
      </c>
      <c r="G15" s="30">
        <v>20</v>
      </c>
      <c r="H15" s="30"/>
      <c r="I15" s="29">
        <f t="shared" si="0"/>
        <v>0</v>
      </c>
      <c r="J15" s="32"/>
    </row>
    <row r="16" spans="1:10" hidden="1" x14ac:dyDescent="0.25">
      <c r="A16" s="4" t="s">
        <v>110</v>
      </c>
      <c r="B16" s="11" t="s">
        <v>130</v>
      </c>
      <c r="C16" s="36" t="s">
        <v>159</v>
      </c>
      <c r="D16" s="37" t="s">
        <v>165</v>
      </c>
      <c r="E16" s="30">
        <v>0</v>
      </c>
      <c r="F16" s="30" t="s">
        <v>186</v>
      </c>
      <c r="G16" s="30">
        <v>20</v>
      </c>
      <c r="H16" s="30"/>
      <c r="I16" s="29">
        <f t="shared" si="0"/>
        <v>0</v>
      </c>
      <c r="J16" s="32"/>
    </row>
    <row r="17" spans="1:10" hidden="1" x14ac:dyDescent="0.25">
      <c r="A17" s="4" t="s">
        <v>110</v>
      </c>
      <c r="B17" s="11" t="s">
        <v>161</v>
      </c>
      <c r="C17" s="36" t="s">
        <v>159</v>
      </c>
      <c r="D17" s="37" t="s">
        <v>166</v>
      </c>
      <c r="E17" s="30">
        <v>0</v>
      </c>
      <c r="F17" s="30" t="s">
        <v>186</v>
      </c>
      <c r="G17" s="30">
        <v>20</v>
      </c>
      <c r="H17" s="30"/>
      <c r="I17" s="29">
        <f t="shared" si="0"/>
        <v>0</v>
      </c>
      <c r="J17" s="32"/>
    </row>
    <row r="18" spans="1:10" x14ac:dyDescent="0.25">
      <c r="A18" s="4" t="s">
        <v>68</v>
      </c>
      <c r="B18" s="12" t="s">
        <v>53</v>
      </c>
      <c r="C18" s="2" t="s">
        <v>49</v>
      </c>
      <c r="D18" s="11"/>
      <c r="E18" s="30">
        <v>4</v>
      </c>
      <c r="F18" s="30" t="s">
        <v>170</v>
      </c>
      <c r="G18" s="30">
        <v>12</v>
      </c>
      <c r="H18" s="30"/>
      <c r="I18" s="29">
        <f t="shared" si="0"/>
        <v>0</v>
      </c>
      <c r="J18" s="32"/>
    </row>
    <row r="19" spans="1:10" hidden="1" x14ac:dyDescent="0.25">
      <c r="A19" s="30" t="s">
        <v>134</v>
      </c>
      <c r="B19" s="11" t="s">
        <v>153</v>
      </c>
      <c r="C19" s="36" t="s">
        <v>159</v>
      </c>
      <c r="D19" s="37" t="s">
        <v>179</v>
      </c>
      <c r="E19" s="30">
        <v>3</v>
      </c>
      <c r="F19" s="30" t="s">
        <v>186</v>
      </c>
      <c r="G19" s="30">
        <v>20</v>
      </c>
      <c r="H19" s="30"/>
      <c r="I19" s="29">
        <f t="shared" si="0"/>
        <v>0</v>
      </c>
      <c r="J19" s="32" t="s">
        <v>169</v>
      </c>
    </row>
    <row r="20" spans="1:10" hidden="1" x14ac:dyDescent="0.25">
      <c r="A20" s="4" t="s">
        <v>110</v>
      </c>
      <c r="B20" s="12" t="s">
        <v>154</v>
      </c>
      <c r="C20" s="36" t="s">
        <v>159</v>
      </c>
      <c r="D20" s="37" t="s">
        <v>180</v>
      </c>
      <c r="E20" s="30">
        <v>7</v>
      </c>
      <c r="F20" s="30" t="s">
        <v>186</v>
      </c>
      <c r="G20" s="30">
        <v>20</v>
      </c>
      <c r="H20" s="30"/>
      <c r="I20" s="29">
        <f t="shared" si="0"/>
        <v>0</v>
      </c>
      <c r="J20" s="32" t="s">
        <v>169</v>
      </c>
    </row>
    <row r="21" spans="1:10" hidden="1" x14ac:dyDescent="0.25">
      <c r="A21" s="4" t="s">
        <v>139</v>
      </c>
      <c r="B21" s="12" t="s">
        <v>155</v>
      </c>
      <c r="C21" s="36" t="s">
        <v>159</v>
      </c>
      <c r="D21" s="37" t="s">
        <v>174</v>
      </c>
      <c r="E21" s="30">
        <v>0</v>
      </c>
      <c r="F21" s="30" t="s">
        <v>186</v>
      </c>
      <c r="G21" s="30">
        <v>20</v>
      </c>
      <c r="H21" s="30"/>
      <c r="I21" s="29">
        <f t="shared" si="0"/>
        <v>0</v>
      </c>
      <c r="J21" s="32" t="s">
        <v>175</v>
      </c>
    </row>
    <row r="22" spans="1:10" hidden="1" x14ac:dyDescent="0.25">
      <c r="A22" s="4" t="s">
        <v>140</v>
      </c>
      <c r="B22" s="12" t="s">
        <v>177</v>
      </c>
      <c r="C22" s="36" t="s">
        <v>159</v>
      </c>
      <c r="D22" s="37" t="s">
        <v>178</v>
      </c>
      <c r="E22" s="30">
        <v>7</v>
      </c>
      <c r="F22" s="30" t="s">
        <v>186</v>
      </c>
      <c r="G22" s="30">
        <v>20</v>
      </c>
      <c r="H22" s="30"/>
      <c r="I22" s="29">
        <f t="shared" si="0"/>
        <v>0</v>
      </c>
      <c r="J22" s="32" t="s">
        <v>169</v>
      </c>
    </row>
    <row r="23" spans="1:10" ht="30" hidden="1" x14ac:dyDescent="0.25">
      <c r="A23" s="4" t="s">
        <v>110</v>
      </c>
      <c r="B23" s="12" t="s">
        <v>172</v>
      </c>
      <c r="C23" s="36" t="s">
        <v>159</v>
      </c>
      <c r="D23" s="37" t="s">
        <v>171</v>
      </c>
      <c r="E23" s="30">
        <v>0</v>
      </c>
      <c r="F23" s="30" t="s">
        <v>170</v>
      </c>
      <c r="G23" s="30">
        <v>100</v>
      </c>
      <c r="H23" s="30"/>
      <c r="I23" s="29">
        <f t="shared" si="0"/>
        <v>0</v>
      </c>
      <c r="J23" s="32" t="s">
        <v>170</v>
      </c>
    </row>
    <row r="24" spans="1:10" x14ac:dyDescent="0.25">
      <c r="A24" s="4" t="s">
        <v>101</v>
      </c>
      <c r="B24" s="11" t="s">
        <v>102</v>
      </c>
      <c r="C24" s="11" t="s">
        <v>113</v>
      </c>
      <c r="D24" s="11"/>
      <c r="E24" s="30">
        <v>0</v>
      </c>
      <c r="F24" s="30" t="s">
        <v>194</v>
      </c>
      <c r="G24" s="30">
        <v>12</v>
      </c>
      <c r="H24" s="30">
        <v>150</v>
      </c>
      <c r="I24" s="29">
        <f t="shared" si="0"/>
        <v>1800</v>
      </c>
      <c r="J24" s="32"/>
    </row>
    <row r="25" spans="1:10" hidden="1" x14ac:dyDescent="0.25">
      <c r="A25" s="4" t="s">
        <v>110</v>
      </c>
      <c r="B25" s="12" t="s">
        <v>156</v>
      </c>
      <c r="C25" s="36" t="s">
        <v>159</v>
      </c>
      <c r="D25" s="37" t="s">
        <v>167</v>
      </c>
      <c r="E25" s="30">
        <v>0</v>
      </c>
      <c r="F25" s="30" t="s">
        <v>186</v>
      </c>
      <c r="G25" s="30">
        <v>10</v>
      </c>
      <c r="H25" s="30"/>
      <c r="I25" s="29">
        <f t="shared" si="0"/>
        <v>0</v>
      </c>
      <c r="J25" s="32"/>
    </row>
    <row r="26" spans="1:10" hidden="1" x14ac:dyDescent="0.25">
      <c r="A26" s="4" t="s">
        <v>110</v>
      </c>
      <c r="B26" s="12" t="s">
        <v>157</v>
      </c>
      <c r="C26" s="36" t="s">
        <v>159</v>
      </c>
      <c r="D26" s="37" t="s">
        <v>168</v>
      </c>
      <c r="E26" s="30">
        <v>0</v>
      </c>
      <c r="F26" s="30" t="s">
        <v>186</v>
      </c>
      <c r="G26" s="30">
        <v>20</v>
      </c>
      <c r="H26" s="30"/>
      <c r="I26" s="30"/>
      <c r="J26" s="32"/>
    </row>
    <row r="27" spans="1:10" hidden="1" x14ac:dyDescent="0.25">
      <c r="A27" s="4" t="s">
        <v>110</v>
      </c>
      <c r="B27" s="12" t="s">
        <v>176</v>
      </c>
      <c r="C27" s="36" t="s">
        <v>159</v>
      </c>
      <c r="D27" s="37" t="s">
        <v>173</v>
      </c>
      <c r="E27" s="30">
        <v>0</v>
      </c>
      <c r="F27" s="30" t="s">
        <v>186</v>
      </c>
      <c r="G27" s="30">
        <v>50</v>
      </c>
      <c r="H27" s="30"/>
      <c r="I27" s="30"/>
      <c r="J27" s="32"/>
    </row>
    <row r="28" spans="1:10" hidden="1" x14ac:dyDescent="0.25">
      <c r="A28" s="4" t="s">
        <v>110</v>
      </c>
      <c r="B28" s="12" t="s">
        <v>182</v>
      </c>
      <c r="C28" s="11" t="s">
        <v>185</v>
      </c>
      <c r="D28" s="11"/>
      <c r="E28" s="30">
        <v>0</v>
      </c>
      <c r="F28" s="30" t="s">
        <v>186</v>
      </c>
      <c r="G28" s="30">
        <v>2000</v>
      </c>
      <c r="H28" s="30"/>
      <c r="I28" s="30"/>
      <c r="J28" s="11" t="s">
        <v>186</v>
      </c>
    </row>
    <row r="29" spans="1:10" hidden="1" x14ac:dyDescent="0.25">
      <c r="A29" s="4" t="s">
        <v>110</v>
      </c>
      <c r="B29" s="11" t="s">
        <v>183</v>
      </c>
      <c r="C29" s="11" t="s">
        <v>185</v>
      </c>
      <c r="D29" s="11"/>
      <c r="E29" s="30">
        <v>0</v>
      </c>
      <c r="F29" s="30" t="s">
        <v>186</v>
      </c>
      <c r="G29" s="30">
        <v>500</v>
      </c>
      <c r="H29" s="30"/>
      <c r="I29" s="30"/>
      <c r="J29" s="11" t="s">
        <v>186</v>
      </c>
    </row>
    <row r="30" spans="1:10" hidden="1" x14ac:dyDescent="0.25">
      <c r="A30" s="4" t="s">
        <v>110</v>
      </c>
      <c r="B30" s="11" t="s">
        <v>184</v>
      </c>
      <c r="C30" s="11" t="s">
        <v>185</v>
      </c>
      <c r="D30" s="11"/>
      <c r="E30" s="30">
        <v>0</v>
      </c>
      <c r="F30" s="30" t="s">
        <v>186</v>
      </c>
      <c r="G30" s="30">
        <v>500</v>
      </c>
      <c r="H30" s="30"/>
      <c r="I30" s="30"/>
      <c r="J30" s="11" t="s">
        <v>186</v>
      </c>
    </row>
    <row r="31" spans="1:10" hidden="1" x14ac:dyDescent="0.25">
      <c r="A31" s="4" t="s">
        <v>110</v>
      </c>
      <c r="B31" s="11" t="s">
        <v>187</v>
      </c>
      <c r="C31" s="11" t="s">
        <v>185</v>
      </c>
      <c r="D31" s="11"/>
      <c r="E31" s="30">
        <v>0</v>
      </c>
      <c r="F31" s="30" t="s">
        <v>186</v>
      </c>
      <c r="G31" s="30">
        <v>2500</v>
      </c>
      <c r="H31" s="30"/>
      <c r="I31" s="30"/>
      <c r="J31" s="11" t="s">
        <v>186</v>
      </c>
    </row>
    <row r="32" spans="1:10" hidden="1" x14ac:dyDescent="0.25">
      <c r="A32" s="4" t="s">
        <v>110</v>
      </c>
      <c r="B32" s="11" t="s">
        <v>188</v>
      </c>
      <c r="C32" s="11" t="s">
        <v>185</v>
      </c>
      <c r="D32" s="11"/>
      <c r="E32" s="30">
        <v>0</v>
      </c>
      <c r="F32" s="30" t="s">
        <v>186</v>
      </c>
      <c r="G32" s="30">
        <v>2500</v>
      </c>
      <c r="H32" s="30"/>
      <c r="I32" s="30"/>
      <c r="J32" s="11" t="s">
        <v>186</v>
      </c>
    </row>
    <row r="33" spans="1:10" ht="30" hidden="1" x14ac:dyDescent="0.25">
      <c r="A33" s="4" t="s">
        <v>110</v>
      </c>
      <c r="B33" s="12" t="s">
        <v>189</v>
      </c>
      <c r="C33" s="11"/>
      <c r="D33" s="11"/>
      <c r="E33" s="11">
        <v>0</v>
      </c>
      <c r="F33" s="11" t="s">
        <v>186</v>
      </c>
      <c r="G33" s="30">
        <v>50</v>
      </c>
      <c r="H33" s="30"/>
      <c r="I33" s="30"/>
      <c r="J33" s="11"/>
    </row>
    <row r="34" spans="1:10" x14ac:dyDescent="0.25">
      <c r="A34" s="11"/>
      <c r="B34" s="11"/>
      <c r="C34" s="11"/>
      <c r="D34" s="11"/>
      <c r="E34" s="11"/>
      <c r="F34" s="11"/>
      <c r="G34" s="30"/>
      <c r="H34" s="30"/>
      <c r="I34" s="30"/>
      <c r="J34" s="11"/>
    </row>
    <row r="35" spans="1:10" x14ac:dyDescent="0.25">
      <c r="A35" s="11"/>
      <c r="B35" s="11"/>
      <c r="C35" s="11"/>
      <c r="D35" s="11"/>
      <c r="E35" s="11"/>
      <c r="F35" s="11"/>
      <c r="G35" s="30"/>
      <c r="H35" s="30"/>
      <c r="I35" s="30"/>
      <c r="J35" s="11"/>
    </row>
  </sheetData>
  <autoFilter ref="A1:J33" xr:uid="{1443DE1B-322A-4C7A-8524-7415FB7AC8F8}">
    <filterColumn colId="2">
      <filters>
        <filter val="Arjun"/>
        <filter val="Ridhan"/>
      </filters>
    </filterColumn>
  </autoFilter>
  <hyperlinks>
    <hyperlink ref="D6" r:id="rId1" xr:uid="{103B7CAF-CE4E-439B-BA6F-FECB4D21D155}"/>
    <hyperlink ref="D14" r:id="rId2" xr:uid="{DB200E58-1F81-410D-9874-12EBD8C650F6}"/>
    <hyperlink ref="D15" r:id="rId3" xr:uid="{E8EA1337-47F1-4542-9EEC-06B3EA94C185}"/>
    <hyperlink ref="D16" r:id="rId4" xr:uid="{95719CDC-AE0A-4339-9613-020317771557}"/>
    <hyperlink ref="D17" r:id="rId5" xr:uid="{7EE7A6E3-E465-4E77-B66F-04BF868E91CA}"/>
    <hyperlink ref="D25" r:id="rId6" xr:uid="{D29B24F7-AF2B-48C1-AAD9-8AA15550940D}"/>
    <hyperlink ref="D26" r:id="rId7" xr:uid="{B8A50793-894E-49B6-95C4-FE2737CEF9DF}"/>
    <hyperlink ref="D23" r:id="rId8" xr:uid="{B9912F8D-6E87-45C9-AD90-42BD8E95186D}"/>
    <hyperlink ref="D27" r:id="rId9" xr:uid="{69512751-5464-4469-A1BD-D9ED355D9C9F}"/>
    <hyperlink ref="D21" r:id="rId10" xr:uid="{C9BC88F0-7B0A-4AD9-9386-3229239273CA}"/>
    <hyperlink ref="D22" r:id="rId11" xr:uid="{95B6E0E6-61B3-4FB1-9BB2-9FA1AADE658C}"/>
    <hyperlink ref="D19" r:id="rId12" xr:uid="{5BA3F80E-2FD2-4B71-BFC1-1682733E513A}"/>
    <hyperlink ref="D20" r:id="rId13" xr:uid="{6DCC04B8-D2F3-45FA-9183-7F303875CC7D}"/>
    <hyperlink ref="D5" r:id="rId14" xr:uid="{81E9997D-55EB-43F4-8473-F4EAD9FADE61}"/>
  </hyperlinks>
  <pageMargins left="0.7" right="0.7" top="0.75" bottom="0.75" header="0.3" footer="0.3"/>
  <pageSetup paperSize="9" fitToHeight="0" orientation="landscape" horizontalDpi="0" verticalDpi="0" r:id="rId15"/>
  <rowBreaks count="1" manualBreakCount="1">
    <brk id="31" max="6" man="1"/>
  </rowBreaks>
  <ignoredErrors>
    <ignoredError sqref="E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6ADF-1EC7-490D-82A6-C3CE4CC29593}">
  <dimension ref="A1:C20"/>
  <sheetViews>
    <sheetView workbookViewId="0">
      <selection activeCell="L10" sqref="L10"/>
    </sheetView>
  </sheetViews>
  <sheetFormatPr defaultRowHeight="15" x14ac:dyDescent="0.25"/>
  <cols>
    <col min="1" max="1" width="8" customWidth="1"/>
    <col min="2" max="2" width="40" customWidth="1"/>
    <col min="3" max="3" width="29.28515625" bestFit="1" customWidth="1"/>
  </cols>
  <sheetData>
    <row r="1" spans="1:3" x14ac:dyDescent="0.25">
      <c r="A1" s="38" t="s">
        <v>195</v>
      </c>
      <c r="B1" s="38" t="s">
        <v>196</v>
      </c>
      <c r="C1" s="38" t="s">
        <v>197</v>
      </c>
    </row>
    <row r="2" spans="1:3" x14ac:dyDescent="0.25">
      <c r="A2" s="38">
        <v>1</v>
      </c>
      <c r="B2" s="38" t="s">
        <v>198</v>
      </c>
      <c r="C2" s="38" t="s">
        <v>199</v>
      </c>
    </row>
    <row r="3" spans="1:3" x14ac:dyDescent="0.25">
      <c r="A3" s="38">
        <v>2</v>
      </c>
      <c r="B3" s="38" t="s">
        <v>200</v>
      </c>
      <c r="C3" s="38" t="s">
        <v>201</v>
      </c>
    </row>
    <row r="4" spans="1:3" x14ac:dyDescent="0.25">
      <c r="A4" s="38">
        <v>3</v>
      </c>
      <c r="B4" s="38" t="s">
        <v>202</v>
      </c>
      <c r="C4" s="38" t="s">
        <v>203</v>
      </c>
    </row>
    <row r="5" spans="1:3" x14ac:dyDescent="0.25">
      <c r="A5" s="38">
        <v>4</v>
      </c>
      <c r="B5" s="38" t="s">
        <v>204</v>
      </c>
      <c r="C5" s="38" t="s">
        <v>205</v>
      </c>
    </row>
    <row r="6" spans="1:3" x14ac:dyDescent="0.25">
      <c r="A6" s="38">
        <v>5</v>
      </c>
      <c r="B6" s="38" t="s">
        <v>128</v>
      </c>
      <c r="C6" s="38" t="s">
        <v>206</v>
      </c>
    </row>
    <row r="7" spans="1:3" x14ac:dyDescent="0.25">
      <c r="A7" s="38">
        <v>6</v>
      </c>
      <c r="B7" s="38" t="s">
        <v>129</v>
      </c>
      <c r="C7" s="38" t="s">
        <v>207</v>
      </c>
    </row>
    <row r="8" spans="1:3" x14ac:dyDescent="0.25">
      <c r="A8" s="38">
        <v>7</v>
      </c>
      <c r="B8" s="38" t="s">
        <v>130</v>
      </c>
      <c r="C8" s="38" t="s">
        <v>208</v>
      </c>
    </row>
    <row r="9" spans="1:3" x14ac:dyDescent="0.25">
      <c r="A9" s="38">
        <v>8</v>
      </c>
      <c r="B9" s="38" t="s">
        <v>209</v>
      </c>
      <c r="C9" s="38" t="s">
        <v>210</v>
      </c>
    </row>
    <row r="10" spans="1:3" x14ac:dyDescent="0.25">
      <c r="A10" s="38">
        <v>9</v>
      </c>
      <c r="B10" s="38" t="s">
        <v>211</v>
      </c>
      <c r="C10" s="38" t="s">
        <v>212</v>
      </c>
    </row>
    <row r="11" spans="1:3" x14ac:dyDescent="0.25">
      <c r="A11" s="38">
        <v>10</v>
      </c>
      <c r="B11" s="38" t="s">
        <v>154</v>
      </c>
      <c r="C11" s="38" t="s">
        <v>213</v>
      </c>
    </row>
    <row r="12" spans="1:3" x14ac:dyDescent="0.25">
      <c r="A12" s="38">
        <v>11</v>
      </c>
      <c r="B12" s="38" t="s">
        <v>155</v>
      </c>
      <c r="C12" s="38" t="s">
        <v>214</v>
      </c>
    </row>
    <row r="13" spans="1:3" x14ac:dyDescent="0.25">
      <c r="A13" s="38">
        <v>12</v>
      </c>
      <c r="B13" s="38" t="s">
        <v>215</v>
      </c>
      <c r="C13" s="38" t="s">
        <v>216</v>
      </c>
    </row>
    <row r="14" spans="1:3" x14ac:dyDescent="0.25">
      <c r="A14" s="38">
        <v>13</v>
      </c>
      <c r="B14" s="38" t="s">
        <v>217</v>
      </c>
      <c r="C14" s="38" t="s">
        <v>218</v>
      </c>
    </row>
    <row r="15" spans="1:3" x14ac:dyDescent="0.25">
      <c r="A15" s="38">
        <v>14</v>
      </c>
      <c r="B15" s="38" t="s">
        <v>219</v>
      </c>
      <c r="C15" s="38" t="s">
        <v>220</v>
      </c>
    </row>
    <row r="16" spans="1:3" x14ac:dyDescent="0.25">
      <c r="A16" s="38">
        <v>15</v>
      </c>
      <c r="B16" s="38" t="s">
        <v>157</v>
      </c>
      <c r="C16" s="38" t="s">
        <v>221</v>
      </c>
    </row>
    <row r="17" spans="1:3" x14ac:dyDescent="0.25">
      <c r="A17" s="38">
        <v>16</v>
      </c>
      <c r="B17" s="38" t="s">
        <v>222</v>
      </c>
      <c r="C17" s="38" t="s">
        <v>223</v>
      </c>
    </row>
    <row r="18" spans="1:3" x14ac:dyDescent="0.25">
      <c r="A18" s="38">
        <v>17</v>
      </c>
      <c r="B18" s="38" t="s">
        <v>127</v>
      </c>
      <c r="C18" s="38" t="s">
        <v>224</v>
      </c>
    </row>
    <row r="19" spans="1:3" x14ac:dyDescent="0.25">
      <c r="A19" s="38">
        <v>18</v>
      </c>
      <c r="B19" s="38" t="s">
        <v>131</v>
      </c>
      <c r="C19" s="38" t="s">
        <v>224</v>
      </c>
    </row>
    <row r="20" spans="1:3" x14ac:dyDescent="0.25">
      <c r="A20" s="38">
        <v>19</v>
      </c>
      <c r="B20" s="38" t="s">
        <v>225</v>
      </c>
      <c r="C20" s="38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Material Requirement List</vt:lpstr>
      <vt:lpstr>Purchased List</vt:lpstr>
      <vt:lpstr>New list</vt:lpstr>
      <vt:lpstr>Rate</vt:lpstr>
      <vt:lpstr>'New list'!Print_Area</vt:lpstr>
      <vt:lpstr>'Purchased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Enquiries manager</cp:lastModifiedBy>
  <cp:lastPrinted>2026-02-17T05:40:07Z</cp:lastPrinted>
  <dcterms:created xsi:type="dcterms:W3CDTF">2026-01-08T07:11:41Z</dcterms:created>
  <dcterms:modified xsi:type="dcterms:W3CDTF">2026-02-17T12:32:30Z</dcterms:modified>
</cp:coreProperties>
</file>