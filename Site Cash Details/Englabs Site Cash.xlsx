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DD67A8DC-718D-4E47-9B92-EF40A137497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JAN_2026" sheetId="7" r:id="rId1"/>
    <sheet name="FEB_2026" sheetId="15" r:id="rId2"/>
    <sheet name="MARCH_2026" sheetId="16" r:id="rId3"/>
    <sheet name="April_2026" sheetId="17" r:id="rId4"/>
  </sheets>
  <definedNames>
    <definedName name="_xlnm._FilterDatabase" localSheetId="3" hidden="1">April_2026!$N$1:$N$113</definedName>
    <definedName name="_xlnm.Print_Area" localSheetId="3">April_2026!$A$1:$Q$89</definedName>
    <definedName name="_xlnm.Print_Area" localSheetId="1">FEB_2026!$A$1:$H$78</definedName>
    <definedName name="_xlnm.Print_Area" localSheetId="0">JAN_2026!$A$1:$H$111</definedName>
    <definedName name="_xlnm.Print_Area" localSheetId="2">MARCH_2026!$A$1:$H$91</definedName>
  </definedNames>
  <calcPr calcId="181029"/>
</workbook>
</file>

<file path=xl/calcChain.xml><?xml version="1.0" encoding="utf-8"?>
<calcChain xmlns="http://schemas.openxmlformats.org/spreadsheetml/2006/main">
  <c r="L85" i="17" l="1"/>
  <c r="L84" i="17"/>
  <c r="K83" i="17"/>
  <c r="L82" i="17"/>
  <c r="L81" i="17"/>
  <c r="M80" i="17"/>
  <c r="M79" i="17"/>
  <c r="M75" i="17"/>
  <c r="P75" i="17" s="1"/>
  <c r="L77" i="17"/>
  <c r="M78" i="17"/>
  <c r="P76" i="17"/>
  <c r="P79" i="17"/>
  <c r="M76" i="17"/>
  <c r="M74" i="17"/>
  <c r="L73" i="17"/>
  <c r="M72" i="17"/>
  <c r="M71" i="17"/>
  <c r="M70" i="17"/>
  <c r="M69" i="17"/>
  <c r="M68" i="17"/>
  <c r="P44" i="17"/>
  <c r="P32" i="17"/>
  <c r="P27" i="17"/>
  <c r="P19" i="17"/>
  <c r="M40" i="17"/>
  <c r="L64" i="17" l="1"/>
  <c r="L59" i="17"/>
  <c r="L53" i="17"/>
  <c r="L51" i="17"/>
  <c r="L50" i="17"/>
  <c r="L41" i="17"/>
  <c r="J47" i="17"/>
  <c r="M66" i="17"/>
  <c r="M67" i="17"/>
  <c r="M65" i="17"/>
  <c r="M63" i="17"/>
  <c r="M62" i="17"/>
  <c r="M61" i="17"/>
  <c r="K18" i="17"/>
  <c r="M43" i="17"/>
  <c r="P43" i="17" s="1"/>
  <c r="M33" i="17"/>
  <c r="K21" i="17"/>
  <c r="K12" i="17"/>
  <c r="K13" i="17"/>
  <c r="M39" i="17" l="1"/>
  <c r="P39" i="17" s="1"/>
  <c r="L36" i="17"/>
  <c r="L34" i="17"/>
  <c r="M25" i="17"/>
  <c r="M24" i="17"/>
  <c r="P24" i="17" s="1"/>
  <c r="M19" i="17"/>
  <c r="P18" i="17"/>
  <c r="M17" i="17"/>
  <c r="P17" i="17" s="1"/>
  <c r="M16" i="17"/>
  <c r="P16" i="17" s="1"/>
  <c r="P13" i="17"/>
  <c r="P12" i="17"/>
  <c r="M4" i="17"/>
  <c r="P4" i="17" s="1"/>
  <c r="M5" i="17"/>
  <c r="P5" i="17" s="1"/>
  <c r="P6" i="17"/>
  <c r="P7" i="17"/>
  <c r="P8" i="17"/>
  <c r="P9" i="17"/>
  <c r="P10" i="17"/>
  <c r="P14" i="17"/>
  <c r="P21" i="17"/>
  <c r="P23" i="17"/>
  <c r="P26" i="17"/>
  <c r="P28" i="17"/>
  <c r="P30" i="17"/>
  <c r="P34" i="17"/>
  <c r="P35" i="17"/>
  <c r="P36" i="17"/>
  <c r="P37" i="17"/>
  <c r="P41" i="17"/>
  <c r="P47" i="17"/>
  <c r="P48" i="17"/>
  <c r="P49" i="17"/>
  <c r="P50" i="17"/>
  <c r="P51" i="17"/>
  <c r="P52" i="17"/>
  <c r="P53" i="17"/>
  <c r="P54" i="17"/>
  <c r="P57" i="17"/>
  <c r="P58" i="17"/>
  <c r="P59" i="17"/>
  <c r="P60" i="17"/>
  <c r="P63" i="17"/>
  <c r="P64" i="17"/>
  <c r="P66" i="17"/>
  <c r="P67" i="17"/>
  <c r="P70" i="17"/>
  <c r="P71" i="17"/>
  <c r="P72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M56" i="17"/>
  <c r="M55" i="17"/>
  <c r="M46" i="17"/>
  <c r="M45" i="17"/>
  <c r="M44" i="17"/>
  <c r="M42" i="17"/>
  <c r="P42" i="17" s="1"/>
  <c r="M38" i="17"/>
  <c r="P33" i="17" s="1"/>
  <c r="M32" i="17"/>
  <c r="M31" i="17"/>
  <c r="M29" i="17"/>
  <c r="M27" i="17"/>
  <c r="M22" i="17"/>
  <c r="M20" i="17"/>
  <c r="P20" i="17" s="1"/>
  <c r="M15" i="17"/>
  <c r="M11" i="17"/>
  <c r="P11" i="17" s="1"/>
  <c r="P78" i="17"/>
  <c r="P77" i="17"/>
  <c r="P74" i="17"/>
  <c r="P73" i="17"/>
  <c r="P69" i="17"/>
  <c r="P68" i="17"/>
  <c r="P62" i="17"/>
  <c r="P61" i="17"/>
  <c r="K23" i="17"/>
  <c r="K14" i="17"/>
  <c r="K28" i="17"/>
  <c r="O3" i="17"/>
  <c r="J9" i="17"/>
  <c r="J26" i="17"/>
  <c r="J48" i="17"/>
  <c r="J52" i="17"/>
  <c r="J58" i="17"/>
  <c r="L30" i="17"/>
  <c r="L37" i="17"/>
  <c r="K10" i="17"/>
  <c r="K8" i="17"/>
  <c r="K7" i="17"/>
  <c r="K6" i="17"/>
  <c r="P15" i="17" l="1"/>
  <c r="K3" i="17"/>
  <c r="M3" i="17"/>
  <c r="P3" i="17" s="1"/>
  <c r="L3" i="17"/>
  <c r="J3" i="17"/>
  <c r="H77" i="16"/>
  <c r="H5" i="17"/>
  <c r="H6" i="17" s="1"/>
  <c r="H7" i="17" s="1"/>
  <c r="H8" i="17" s="1"/>
  <c r="H9" i="17" s="1"/>
  <c r="H10" i="17" s="1"/>
  <c r="H11" i="17" s="1"/>
  <c r="H12" i="17" s="1"/>
  <c r="H13" i="17" s="1"/>
  <c r="H14" i="17" s="1"/>
  <c r="H15" i="17" s="1"/>
  <c r="H16" i="17" s="1"/>
  <c r="H17" i="17" s="1"/>
  <c r="H18" i="17" s="1"/>
  <c r="H19" i="17" s="1"/>
  <c r="H20" i="17" s="1"/>
  <c r="H21" i="17" s="1"/>
  <c r="H22" i="17" s="1"/>
  <c r="H23" i="17" s="1"/>
  <c r="H24" i="17" s="1"/>
  <c r="H25" i="17" s="1"/>
  <c r="H26" i="17" s="1"/>
  <c r="H27" i="17" s="1"/>
  <c r="H28" i="17" s="1"/>
  <c r="H29" i="17" s="1"/>
  <c r="H30" i="17" s="1"/>
  <c r="H31" i="17" s="1"/>
  <c r="H32" i="17" s="1"/>
  <c r="H33" i="17" s="1"/>
  <c r="H34" i="17" s="1"/>
  <c r="H35" i="17" s="1"/>
  <c r="H36" i="17" s="1"/>
  <c r="H37" i="17" s="1"/>
  <c r="H38" i="17" s="1"/>
  <c r="H39" i="17" s="1"/>
  <c r="H40" i="17" s="1"/>
  <c r="H41" i="17" s="1"/>
  <c r="H42" i="17" s="1"/>
  <c r="H43" i="17" s="1"/>
  <c r="H44" i="17" s="1"/>
  <c r="H45" i="17" s="1"/>
  <c r="H46" i="17" s="1"/>
  <c r="H47" i="17" s="1"/>
  <c r="H48" i="17" s="1"/>
  <c r="H49" i="17" s="1"/>
  <c r="H50" i="17" s="1"/>
  <c r="H51" i="17" s="1"/>
  <c r="H52" i="17" s="1"/>
  <c r="H53" i="17" s="1"/>
  <c r="H54" i="17" s="1"/>
  <c r="H55" i="17" s="1"/>
  <c r="H56" i="17" s="1"/>
  <c r="G3" i="17"/>
  <c r="F3" i="17"/>
  <c r="H5" i="16"/>
  <c r="H6" i="16" s="1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H20" i="16" s="1"/>
  <c r="H21" i="16" s="1"/>
  <c r="H22" i="16" s="1"/>
  <c r="H23" i="16" s="1"/>
  <c r="H24" i="16" s="1"/>
  <c r="H25" i="16" s="1"/>
  <c r="H26" i="16" s="1"/>
  <c r="H27" i="16" s="1"/>
  <c r="H28" i="16" s="1"/>
  <c r="H29" i="16" s="1"/>
  <c r="H30" i="16" s="1"/>
  <c r="H31" i="16" s="1"/>
  <c r="H32" i="16" s="1"/>
  <c r="H33" i="16" s="1"/>
  <c r="H34" i="16" s="1"/>
  <c r="H35" i="16" s="1"/>
  <c r="H36" i="16" s="1"/>
  <c r="H37" i="16" s="1"/>
  <c r="H38" i="16" s="1"/>
  <c r="H39" i="16" s="1"/>
  <c r="H40" i="16" s="1"/>
  <c r="H41" i="16" s="1"/>
  <c r="H42" i="16" s="1"/>
  <c r="H43" i="16" s="1"/>
  <c r="H44" i="16" s="1"/>
  <c r="H45" i="16" s="1"/>
  <c r="H46" i="16" s="1"/>
  <c r="H47" i="16" s="1"/>
  <c r="H48" i="16" s="1"/>
  <c r="H49" i="16" s="1"/>
  <c r="H50" i="16" s="1"/>
  <c r="H51" i="16" s="1"/>
  <c r="H52" i="16" s="1"/>
  <c r="H53" i="16" s="1"/>
  <c r="H54" i="16" s="1"/>
  <c r="H55" i="16" s="1"/>
  <c r="H56" i="16" s="1"/>
  <c r="H57" i="16" s="1"/>
  <c r="H58" i="16" s="1"/>
  <c r="H59" i="16" s="1"/>
  <c r="H60" i="16" s="1"/>
  <c r="H61" i="16" s="1"/>
  <c r="H62" i="16" s="1"/>
  <c r="H63" i="16" s="1"/>
  <c r="H64" i="16" s="1"/>
  <c r="H65" i="16" s="1"/>
  <c r="H66" i="16" s="1"/>
  <c r="H67" i="16" s="1"/>
  <c r="H68" i="16" s="1"/>
  <c r="H69" i="16" s="1"/>
  <c r="H70" i="16" s="1"/>
  <c r="H71" i="16" s="1"/>
  <c r="H72" i="16" s="1"/>
  <c r="H73" i="16" s="1"/>
  <c r="H74" i="16" s="1"/>
  <c r="H75" i="16" s="1"/>
  <c r="H76" i="16" s="1"/>
  <c r="H78" i="16" s="1"/>
  <c r="H79" i="16" s="1"/>
  <c r="H80" i="16" s="1"/>
  <c r="H81" i="16" s="1"/>
  <c r="H82" i="16" s="1"/>
  <c r="H83" i="16" s="1"/>
  <c r="H84" i="16" s="1"/>
  <c r="H85" i="16" s="1"/>
  <c r="H86" i="16" s="1"/>
  <c r="H87" i="16" s="1"/>
  <c r="H88" i="16" s="1"/>
  <c r="H89" i="16" s="1"/>
  <c r="H90" i="16" s="1"/>
  <c r="H91" i="16" s="1"/>
  <c r="H92" i="16" s="1"/>
  <c r="H93" i="16" s="1"/>
  <c r="H94" i="16" s="1"/>
  <c r="H95" i="16" s="1"/>
  <c r="H96" i="16" s="1"/>
  <c r="H97" i="16" s="1"/>
  <c r="H98" i="16" s="1"/>
  <c r="H99" i="16" s="1"/>
  <c r="H100" i="16" s="1"/>
  <c r="H101" i="16" s="1"/>
  <c r="H102" i="16" s="1"/>
  <c r="H103" i="16" s="1"/>
  <c r="H104" i="16" s="1"/>
  <c r="H105" i="16" s="1"/>
  <c r="H106" i="16" s="1"/>
  <c r="H107" i="16" s="1"/>
  <c r="H108" i="16" s="1"/>
  <c r="H109" i="16" s="1"/>
  <c r="H110" i="16" s="1"/>
  <c r="H111" i="16" s="1"/>
  <c r="H112" i="16" s="1"/>
  <c r="G3" i="16"/>
  <c r="F3" i="16"/>
  <c r="H43" i="15"/>
  <c r="H44" i="15"/>
  <c r="H45" i="15"/>
  <c r="H46" i="15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H64" i="15" s="1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75" i="15" s="1"/>
  <c r="H76" i="15" s="1"/>
  <c r="H77" i="15" s="1"/>
  <c r="H78" i="15" s="1"/>
  <c r="H79" i="15" s="1"/>
  <c r="H80" i="15" s="1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H91" i="15" s="1"/>
  <c r="H92" i="15" s="1"/>
  <c r="H93" i="15" s="1"/>
  <c r="H94" i="15" s="1"/>
  <c r="H95" i="15" s="1"/>
  <c r="H96" i="15" s="1"/>
  <c r="H97" i="15" s="1"/>
  <c r="H98" i="15" s="1"/>
  <c r="H99" i="15" s="1"/>
  <c r="H100" i="15" s="1"/>
  <c r="H101" i="15" s="1"/>
  <c r="H102" i="15" s="1"/>
  <c r="H103" i="15" s="1"/>
  <c r="H104" i="15" s="1"/>
  <c r="H105" i="15" s="1"/>
  <c r="H106" i="15" s="1"/>
  <c r="H107" i="15" s="1"/>
  <c r="H108" i="15" s="1"/>
  <c r="H109" i="15" s="1"/>
  <c r="H110" i="15" s="1"/>
  <c r="H111" i="15" s="1"/>
  <c r="H5" i="15"/>
  <c r="H6" i="15" s="1"/>
  <c r="H7" i="15" s="1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G3" i="15"/>
  <c r="F3" i="15"/>
  <c r="H68" i="7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5" i="7"/>
  <c r="H6" i="7" s="1"/>
  <c r="H7" i="7" s="1"/>
  <c r="H8" i="7" s="1"/>
  <c r="H9" i="7" s="1"/>
  <c r="H10" i="7" s="1"/>
  <c r="H11" i="7" s="1"/>
  <c r="G3" i="7"/>
  <c r="F3" i="7"/>
  <c r="H57" i="17" l="1"/>
  <c r="H58" i="17" s="1"/>
  <c r="H59" i="17" s="1"/>
  <c r="H60" i="17" s="1"/>
  <c r="H61" i="17" s="1"/>
  <c r="H62" i="17" s="1"/>
  <c r="H63" i="17" s="1"/>
  <c r="H64" i="17" s="1"/>
  <c r="H65" i="17" s="1"/>
  <c r="H66" i="17" s="1"/>
  <c r="H67" i="17" s="1"/>
  <c r="H68" i="17" s="1"/>
  <c r="H69" i="17" s="1"/>
  <c r="H70" i="17" s="1"/>
  <c r="H71" i="17" s="1"/>
  <c r="H72" i="17" s="1"/>
  <c r="H73" i="17" s="1"/>
  <c r="H74" i="17" s="1"/>
  <c r="H75" i="17" s="1"/>
  <c r="H76" i="17" s="1"/>
  <c r="H77" i="17" s="1"/>
  <c r="H78" i="17" s="1"/>
  <c r="H79" i="17" s="1"/>
  <c r="H80" i="17" s="1"/>
  <c r="H81" i="17" s="1"/>
  <c r="H82" i="17" s="1"/>
  <c r="H83" i="17" s="1"/>
  <c r="H84" i="17" s="1"/>
  <c r="H85" i="17" s="1"/>
  <c r="H86" i="17" s="1"/>
  <c r="H87" i="17" s="1"/>
  <c r="H88" i="17" s="1"/>
  <c r="H89" i="17" s="1"/>
  <c r="H90" i="17" s="1"/>
  <c r="H91" i="17" s="1"/>
  <c r="H92" i="17" s="1"/>
  <c r="H93" i="17" s="1"/>
  <c r="H94" i="17" s="1"/>
  <c r="H95" i="17" s="1"/>
  <c r="H96" i="17" s="1"/>
  <c r="H97" i="17" s="1"/>
  <c r="H98" i="17" s="1"/>
  <c r="H99" i="17" s="1"/>
  <c r="H100" i="17" s="1"/>
  <c r="H101" i="17" s="1"/>
  <c r="H102" i="17" s="1"/>
  <c r="H103" i="17" s="1"/>
  <c r="H104" i="17" s="1"/>
  <c r="H105" i="17" s="1"/>
  <c r="H106" i="17" s="1"/>
  <c r="H107" i="17" s="1"/>
  <c r="H108" i="17" s="1"/>
  <c r="H109" i="17" s="1"/>
  <c r="H110" i="17" s="1"/>
  <c r="H111" i="17" s="1"/>
  <c r="H112" i="17" s="1"/>
  <c r="H3" i="17"/>
  <c r="H3" i="16"/>
  <c r="H36" i="15"/>
  <c r="H37" i="15" s="1"/>
  <c r="H38" i="15" s="1"/>
  <c r="H39" i="15" s="1"/>
  <c r="H40" i="15" s="1"/>
  <c r="H41" i="15" s="1"/>
  <c r="H42" i="15" s="1"/>
  <c r="H3" i="15"/>
  <c r="H12" i="7"/>
  <c r="H3" i="7"/>
  <c r="H13" i="7" l="1"/>
  <c r="H14" i="7" l="1"/>
  <c r="H15" i="7" l="1"/>
  <c r="H16" i="7" l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l="1"/>
  <c r="H31" i="7" s="1"/>
  <c r="H32" i="7" s="1"/>
  <c r="H33" i="7" s="1"/>
  <c r="H34" i="7" l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</calcChain>
</file>

<file path=xl/sharedStrings.xml><?xml version="1.0" encoding="utf-8"?>
<sst xmlns="http://schemas.openxmlformats.org/spreadsheetml/2006/main" count="553" uniqueCount="376">
  <si>
    <t>Cr.</t>
  </si>
  <si>
    <t>Dr.</t>
  </si>
  <si>
    <t>BALANCE</t>
  </si>
  <si>
    <t>From</t>
  </si>
  <si>
    <t>Mode of Payment</t>
  </si>
  <si>
    <t>Recieved By</t>
  </si>
  <si>
    <t>Detail Of Transition / Expenses</t>
  </si>
  <si>
    <t>Cash</t>
  </si>
  <si>
    <t>Date</t>
  </si>
  <si>
    <t xml:space="preserve"> </t>
  </si>
  <si>
    <t>Last Month Balance</t>
  </si>
  <si>
    <t>Porter Frome Excel to Neyracle Health C4850</t>
  </si>
  <si>
    <t>Porter Powder Coating pickup from CMS C4878</t>
  </si>
  <si>
    <t xml:space="preserve">Porter From C4880 MSL PACIFIC LABS TO Englabs </t>
  </si>
  <si>
    <t>Notary From Arjun ji</t>
  </si>
  <si>
    <t>Bharat Anand</t>
  </si>
  <si>
    <t>Parveen Kumar</t>
  </si>
  <si>
    <t>Milk bill From 22 Dec2025 to 6th Jan 2026 (Vender Details : …....................................)</t>
  </si>
  <si>
    <t>Milk &amp; Ginger bill Only Sunday by Arjun (Vender Details:…...........................................)</t>
  </si>
  <si>
    <t>Porter From C4880 Englabs to Aebocode</t>
  </si>
  <si>
    <t>Paytm</t>
  </si>
  <si>
    <t>Milk &amp;bill Only  by Arjun (Vender Details:…...........................................)</t>
  </si>
  <si>
    <t>Porter  FROM PLASTICPACK TO CORIER GUY Project ID C4882</t>
  </si>
  <si>
    <t>Chandigarh airport Parking Bill Payments (Shiv Narayan Driver Englabs)</t>
  </si>
  <si>
    <t xml:space="preserve">Sugar &amp; Tea </t>
  </si>
  <si>
    <t>NEFT</t>
  </si>
  <si>
    <t xml:space="preserve">GAURAV </t>
  </si>
  <si>
    <t>Ratnesh</t>
  </si>
  <si>
    <t>Porter From C4465 Ankit Industrial to Englabs</t>
  </si>
  <si>
    <t>Porter From Elin to Englabs C4873</t>
  </si>
  <si>
    <t>Porter From Labat Asia to Englabs C4803</t>
  </si>
  <si>
    <t>Porter From Talekar to Airport C4845</t>
  </si>
  <si>
    <t>Porter From Workaad to Railway Station C4888</t>
  </si>
  <si>
    <t>Porter From Railway Station to Englabs  C4888</t>
  </si>
  <si>
    <t>Porter Englabs to Excel Sample C4842</t>
  </si>
  <si>
    <t>Porter Aebocode courier C4728</t>
  </si>
  <si>
    <t>Porter From CMS to Englabs C4874</t>
  </si>
  <si>
    <t>Pickup</t>
  </si>
  <si>
    <t>Tea No Details</t>
  </si>
  <si>
    <t>Exp  223+167</t>
  </si>
  <si>
    <t>Porter From Talekar to Airport C4891</t>
  </si>
  <si>
    <t>Porter From Airport to Talekar  C4891</t>
  </si>
  <si>
    <t>C4465 Not Bolt JV Mill</t>
  </si>
  <si>
    <t>Porter From Pacificlab to Englabs</t>
  </si>
  <si>
    <t>Porter From CMS to Englabs C4867</t>
  </si>
  <si>
    <t>Porter From Englabs to DTDC C4867</t>
  </si>
  <si>
    <t>Porter From Excel To Design Mind C4892 &amp; C4895</t>
  </si>
  <si>
    <t>Print A0 Size Saha, Ambala</t>
  </si>
  <si>
    <t>Porter From Faridabaad to Kyocera C4898</t>
  </si>
  <si>
    <t>Porter From Amuse 3D to Airport Chennai</t>
  </si>
  <si>
    <t xml:space="preserve">Porter From New Panchkula graphic to HSVP Sec 6 Panchkula Print </t>
  </si>
  <si>
    <t>Porter From Airport to Henkel C4891</t>
  </si>
  <si>
    <t>An unexplained cash discrepancy of 168 was noted at the site.</t>
  </si>
  <si>
    <t xml:space="preserve">Porter From Englabs to Chandigarh Paints </t>
  </si>
  <si>
    <t xml:space="preserve">Puchased Materials (Slipper-5, Zip Lock - 6, Tissu Roll - 24, Garbej Bag - 20, Petro;-rs100) By Arjun, </t>
  </si>
  <si>
    <t>Porter From Rapidroto to Airport (11-01-2026) by Shubham</t>
  </si>
  <si>
    <t>Porter From Faridabad to Bajaj Courier by Shubham</t>
  </si>
  <si>
    <t xml:space="preserve">Puchased Materials (Pen 20Nos) By Arjun, </t>
  </si>
  <si>
    <t>Porter From  Englabs to Aebocode C4811</t>
  </si>
  <si>
    <t xml:space="preserve">RATNESH </t>
  </si>
  <si>
    <t>BHARAT SIR</t>
  </si>
  <si>
    <t>Porter From Excel to Design Mind C4892 &amp; C4842 by Shubham</t>
  </si>
  <si>
    <t>Airport Payments shivnarayan by, Shubham</t>
  </si>
  <si>
    <t xml:space="preserve">Puchased Materials (Butter Paper From Part Packing 25Nos) By Arjun, </t>
  </si>
  <si>
    <t>Puchased Milk Local Shop (10-JAN_2026_TO_18-JAN-2026) Packet 18 Rate 32 , 32*18=576,,,,,,By Arjun</t>
  </si>
  <si>
    <t>Cab Englabs to Phase 2 up &amp; Down , Kartik for Office Work</t>
  </si>
  <si>
    <t xml:space="preserve">Porter From Excel to Delhi </t>
  </si>
  <si>
    <t xml:space="preserve">Porter From Englabs to Elin C4909 </t>
  </si>
  <si>
    <t>Cab Delhi to Chandi Garh C4909, C4919</t>
  </si>
  <si>
    <t xml:space="preserve">Porter Mohali to Englabs for HG Cleaning </t>
  </si>
  <si>
    <t>Porter From Englabs to Hella C4913</t>
  </si>
  <si>
    <t>Porter From Englabs to Aebocode</t>
  </si>
  <si>
    <t>Naveen</t>
  </si>
  <si>
    <t>Anurag</t>
  </si>
  <si>
    <t>Porter From Excel to Railway Station Delhi C4913 , C4909, (Rukshar Khatoon) by Shubham</t>
  </si>
  <si>
    <t>Porter From Plastic Pack to Workad to Delhi Railway Station, C4933, C4781, C4905, by Shubham</t>
  </si>
  <si>
    <t xml:space="preserve">Porter From Englabs to Redington PDC by Ratnesh </t>
  </si>
  <si>
    <t>Cab Delhi to Airport C4909, C4919 by Shubham</t>
  </si>
  <si>
    <t>Cab Delhi to Chandigarh C4909, C4919 by Shubham</t>
  </si>
  <si>
    <t>Porter From Balaji to Englabs Foam rolll &amp; Sheets by Gaurav</t>
  </si>
  <si>
    <t>Purchased to Ginger for Tea Time by Arjun</t>
  </si>
  <si>
    <t xml:space="preserve">Porter Englabs to Aebocode </t>
  </si>
  <si>
    <t>Chair Repair All Englabs by Shrerya Mam &amp; Gaurav</t>
  </si>
  <si>
    <t xml:space="preserve">Food no Details </t>
  </si>
  <si>
    <t>Mukesh Carpenter Bill No. 10</t>
  </si>
  <si>
    <t>Porter to Hella C4781</t>
  </si>
  <si>
    <t>Porter From Englabs to Zirakpur  By Shubham</t>
  </si>
  <si>
    <t>Porter From Delhi to Faridabad  Shubham</t>
  </si>
  <si>
    <t>Porter From Chandigar to Delhi By Shubham</t>
  </si>
  <si>
    <t>Porter From Excel to Delhi C4781 By Shubham</t>
  </si>
  <si>
    <t>Porter to Orient C4925</t>
  </si>
  <si>
    <t xml:space="preserve">Porter From Englabs to MSL C4863 By Sunny </t>
  </si>
  <si>
    <t>Porter From Englabs to Chandigarh C4009, C4913</t>
  </si>
  <si>
    <t>Sohan Lal by Anurag</t>
  </si>
  <si>
    <t>Porter From Excel to Delhi C4719 By Shubham</t>
  </si>
  <si>
    <t>Porter From Delhi to Chandigarh C4919 By Shubham</t>
  </si>
  <si>
    <t>Porter From Workaad to CHD Railway Station C4933, C4935 By Shubham</t>
  </si>
  <si>
    <t>paytm</t>
  </si>
  <si>
    <t>Pacific Labs</t>
  </si>
  <si>
    <t xml:space="preserve">Porter From Englabs to Aebocode </t>
  </si>
  <si>
    <t xml:space="preserve">Cab From Chandigarh to MSL </t>
  </si>
  <si>
    <t xml:space="preserve">Purchase to Surf, cell, ginger by Arjun </t>
  </si>
  <si>
    <t>Porter From CMS to Englabs C4828</t>
  </si>
  <si>
    <t>Porter Hella Delivery C4828</t>
  </si>
  <si>
    <t>Kunwarlal Salary Advance by Sunny Singla</t>
  </si>
  <si>
    <t>Sunny Singla</t>
  </si>
  <si>
    <t>Porter From Plastipack to Delhi Trai C4949</t>
  </si>
  <si>
    <r>
      <t xml:space="preserve">A/C Holder :- Englabs Site Cash   </t>
    </r>
    <r>
      <rPr>
        <b/>
        <u/>
        <sz val="10"/>
        <color rgb="FFED0000"/>
        <rFont val="Cambria"/>
        <family val="1"/>
        <scheme val="major"/>
      </rPr>
      <t>JANUARY 2026</t>
    </r>
  </si>
  <si>
    <t xml:space="preserve">Last Month Balance </t>
  </si>
  <si>
    <t>Porter From Pacific to Englabs C4958</t>
  </si>
  <si>
    <t>Purchased Suger, tea leaf  Local Shop</t>
  </si>
  <si>
    <t>Milk &amp;bill Only 19-Jan to 31-Jan By Arjun , Local Shop</t>
  </si>
  <si>
    <t>Porter From Englabs to Jal C4957</t>
  </si>
  <si>
    <t>Porter From CMS to Englabs C4717</t>
  </si>
  <si>
    <t>Porter From Pune to Mumbai</t>
  </si>
  <si>
    <t>Porter From Englabs to Hella C4941</t>
  </si>
  <si>
    <t>Porter From Englabs To Hella    C4971</t>
  </si>
  <si>
    <t>Porter by RapidoFrom CHD RLY to Englabs .   C4949, C4959, C4957</t>
  </si>
  <si>
    <t>Porter From Plastic To Delhi RYL   C4949, C4959</t>
  </si>
  <si>
    <t>Porter by Train From Delhi RLY to Chandigarh RLY .   C4949, C4959, C4957</t>
  </si>
  <si>
    <t>ENGLABS SITE CASH ACCOUNTS</t>
  </si>
  <si>
    <t>ENGLABS SALARY ACCOUNTS</t>
  </si>
  <si>
    <t>Kusum didi Salary by Shubham Account</t>
  </si>
  <si>
    <t>Porter From Labat PC to CMS C4539</t>
  </si>
  <si>
    <t>Porter Englabs to to Hella C4961</t>
  </si>
  <si>
    <t>Porter Englabs to Zirakpur C4887</t>
  </si>
  <si>
    <t>Porter Englabs to Sark Industries C4968</t>
  </si>
  <si>
    <t>Porter From Delhi to Chandigarh C4968, C4970, C4934, C4958, C4961</t>
  </si>
  <si>
    <t>Porter From Talekar to Airport C4952</t>
  </si>
  <si>
    <t>Porter From Chandigarh Airport to Chennai Henkel Office C4953</t>
  </si>
  <si>
    <t>Courier From Faridabad to Englabs C4973 by Rohit Verma</t>
  </si>
  <si>
    <t>Porter From CMS to Englabs C4539</t>
  </si>
  <si>
    <t>Courier From Englabs to Passim  C4934 by Rohit Verma</t>
  </si>
  <si>
    <t>Milk &amp;bill (Date 02-Feb to 10-Feb) By Arjun , Local Shop</t>
  </si>
  <si>
    <t>Porter From Faridabad to Baaz Gurugram C4972</t>
  </si>
  <si>
    <t>Porter From CICU to Englabs C4965, C4986</t>
  </si>
  <si>
    <t xml:space="preserve">UPI Circle Payments Check Team </t>
  </si>
  <si>
    <t>UPI Circle Payments Check Team</t>
  </si>
  <si>
    <t>Porter From Workaad to Faridabaad By Rohit C4874</t>
  </si>
  <si>
    <t>Porter From Plastipackto Faridabad by Rohit  C4974</t>
  </si>
  <si>
    <t>Porter From Englabs to Aebocode C4872</t>
  </si>
  <si>
    <t>Porter From Englabs to Hella C4954</t>
  </si>
  <si>
    <t xml:space="preserve">Purchased Sanding Paper 100, by arjun </t>
  </si>
  <si>
    <t>Porter From Englabs to Sec 38 , Redinton Check by Ratnesh</t>
  </si>
  <si>
    <t xml:space="preserve">Cash Back Received </t>
  </si>
  <si>
    <t>UPI</t>
  </si>
  <si>
    <t>Breakfast Gaurav MSL Visit</t>
  </si>
  <si>
    <t>Porter  From Excel to Marelli C4985</t>
  </si>
  <si>
    <t>Porter From  Delhi to Chandigarh by Car C4611</t>
  </si>
  <si>
    <t xml:space="preserve">USB Type B </t>
  </si>
  <si>
    <t>Porter From Englabs to SML Office C4611</t>
  </si>
  <si>
    <t>Porter From Englabs to Aebocode C4956</t>
  </si>
  <si>
    <t>Milk &amp;bill (Date…....................................) By Arjun , Local Shop</t>
  </si>
  <si>
    <t>Porter From Englabs to SG Engineering C4977</t>
  </si>
  <si>
    <t xml:space="preserve">UPI By Shubham </t>
  </si>
  <si>
    <t>Porter From Englabs to ADSL Lalru C4788</t>
  </si>
  <si>
    <t>Puchased  Coffee Pouch 150pcs</t>
  </si>
  <si>
    <t>Porter From Plastipack to Workaad C4994</t>
  </si>
  <si>
    <t xml:space="preserve">Ride From Englabs to Phase for Shiv Narayan </t>
  </si>
  <si>
    <t>Black Spray Coat Charges Workaad Without GST C4994</t>
  </si>
  <si>
    <t>Englabs to Bharat Anand ,  Bainsa Tibba Account Bill No. 43</t>
  </si>
  <si>
    <t>Uber From Delhi to Endureair C4998, C5004</t>
  </si>
  <si>
    <t>Uber From Chandigarh to Delhi  C4998, C5004</t>
  </si>
  <si>
    <t xml:space="preserve">Porter From to Englabs to SG Engineeing C5017 </t>
  </si>
  <si>
    <t>Englabs to TCP NCR Sec 18 , Gaurav</t>
  </si>
  <si>
    <t>TCP NCR Sec 18 to Englabs Gaurav</t>
  </si>
  <si>
    <t>Porter From Adroitec to Orient C5026</t>
  </si>
  <si>
    <t>Porter Faridabad to AV Maching  C5000</t>
  </si>
  <si>
    <t>Blinkit wallet Account Transfer</t>
  </si>
  <si>
    <t xml:space="preserve">Purchased Suger + Chaye patti , by arjun </t>
  </si>
  <si>
    <t>Englabs to HSVP Ambala up &amp; Down + Food , Gaurav</t>
  </si>
  <si>
    <t>The auto rent fan has been sent to the repair shop by Thakur Parshad.</t>
  </si>
  <si>
    <t>Porter From to  ebocode C5019</t>
  </si>
  <si>
    <t xml:space="preserve">Amzone Parcel Puching  machin PCB  Part  By Monal Saini </t>
  </si>
  <si>
    <t xml:space="preserve">Amzone Parcel Puching  machin  Reele  Part  By Monal Saini </t>
  </si>
  <si>
    <t xml:space="preserve">Purchased Adrak , by arjun </t>
  </si>
  <si>
    <t xml:space="preserve">Porter From Excel to Bjaj C4969  by Shubham </t>
  </si>
  <si>
    <t>A/C Holder :- Englabs Site Cash   February 2026</t>
  </si>
  <si>
    <t>A/C Holder :- Englabs Site Cash   March 2026</t>
  </si>
  <si>
    <t xml:space="preserve">Porter From Marco polo to …..............    C5005 </t>
  </si>
  <si>
    <t xml:space="preserve">AC Mentinance Service Room No. 1061  7th Floor by Parmod Bahl </t>
  </si>
  <si>
    <t>Porter From Workaad to siccu Sample Part By Shubham</t>
  </si>
  <si>
    <t xml:space="preserve">Fan repairing rent by Thakur </t>
  </si>
  <si>
    <t>3 Fan Reparing  By Thakur</t>
  </si>
  <si>
    <t>Purchase POWER CONNECT 2-Way Push Fit Connector (SET OF 50 Pieces) by Anurag</t>
  </si>
  <si>
    <t xml:space="preserve">Porter Delhi to Chandigarh C5040 BY Shubham </t>
  </si>
  <si>
    <t xml:space="preserve">Porter Workaad to Pltipck to Delhi C5040 by Shubham </t>
  </si>
  <si>
    <t xml:space="preserve">Porter  Englabs to Zirakpur c5040 By Shubham </t>
  </si>
  <si>
    <t xml:space="preserve">Porter  From Englabs to Sark Industries C5038 By Shubham </t>
  </si>
  <si>
    <t>Porter Railway Station CHD to Englabs C5040 By Shubham</t>
  </si>
  <si>
    <t xml:space="preserve">Porter From Delhi to Endureair C5004 By Shubham </t>
  </si>
  <si>
    <t>Porter From CHD to Delhi C5004 By Shubham</t>
  </si>
  <si>
    <t xml:space="preserve">Porter  From Englabs to Zirakpur C5004 &amp; C4998 By Shubham </t>
  </si>
  <si>
    <t>Milk &amp;bill (Date 01 to 11 March ) By Arjun , Local Shop</t>
  </si>
  <si>
    <t>Milk &amp;bill (Date18 to 28 feb) By Arjun , Local Shop</t>
  </si>
  <si>
    <t>Porter  From Chandigarh to Delhi C5004 By Shubham</t>
  </si>
  <si>
    <t>Porter  From Plastipack to ….............. C5033 By Shubham</t>
  </si>
  <si>
    <t xml:space="preserve">Porter Faridabad to Mumbai C5033 By Shubham </t>
  </si>
  <si>
    <t>Porter From CHD to Delhi C5049 By Shubham</t>
  </si>
  <si>
    <t xml:space="preserve">Porter From Delhi to Endureair C4998 By Shubham </t>
  </si>
  <si>
    <t>Porter From Englabs to Simsun C5040</t>
  </si>
  <si>
    <t>Porter From Plastipack to Railway Station …............ C5040</t>
  </si>
  <si>
    <t xml:space="preserve">Porter  From Delhi ti CHD C5040 By Shubham </t>
  </si>
  <si>
    <t>Porter  From CHD RLY to Englabs C5040 By Shubham</t>
  </si>
  <si>
    <t>Porter From Faridabad to Mumbai C5033 By Shubham</t>
  </si>
  <si>
    <t>Purchase Electrical Tape Fro Dalmitra Project By Arjun</t>
  </si>
  <si>
    <t xml:space="preserve">Porter From Englabs to Aebocode C…........ </t>
  </si>
  <si>
    <t>Porter  From Englabs to Aebocode C…............</t>
  </si>
  <si>
    <t xml:space="preserve">Paid to Gaurav 7th March TCP Sec-18 Food or 8th March DTP Kaithal Breakfast only </t>
  </si>
  <si>
    <t>Porter From Englabs to Vijay Sir Home C5013</t>
  </si>
  <si>
    <t>Porter From Plastipack to Railway Station Delhi  C5050</t>
  </si>
  <si>
    <t>Porter From Englabs to Aebocode C5019, C5065, C4872</t>
  </si>
  <si>
    <t>Porter From Englabs to PDC by Shubham</t>
  </si>
  <si>
    <t>Porter From Workaad to Karnal bypass C5056, C5063</t>
  </si>
  <si>
    <t>Porter From Englabs to Zirakpur C5049</t>
  </si>
  <si>
    <t>Porter  From ABS to Workaad C5049</t>
  </si>
  <si>
    <t>Porter From MJF Delhi to Nipa C5049</t>
  </si>
  <si>
    <t>Porter From Plastipack to BCH C5058</t>
  </si>
  <si>
    <t>Porter From Plastipack to Railway Station Delhi C5050</t>
  </si>
  <si>
    <t>Porter From Delhi Railway Station to Chandigarh Railway Station C5050</t>
  </si>
  <si>
    <t>Porter  From Delhi to Chandigarh C5056, C5063</t>
  </si>
  <si>
    <t>Porter Airport to Hankel C5008</t>
  </si>
  <si>
    <t>Porter From Englabs to Sark C5063</t>
  </si>
  <si>
    <t>Ratnesh No Remarks</t>
  </si>
  <si>
    <t>Porter From Englabs to Scope Derabassi C5060</t>
  </si>
  <si>
    <t>Porter Aebocode C5061</t>
  </si>
  <si>
    <t xml:space="preserve">Purchased to Adrak by Arjin </t>
  </si>
  <si>
    <t xml:space="preserve">Transfer to Blinkit Wallet </t>
  </si>
  <si>
    <t xml:space="preserve">Purchase  to Exhaust Fan for Workshop </t>
  </si>
  <si>
    <t>NPCI BHIM CASH BACK</t>
  </si>
  <si>
    <t>Porter  From to hella frol Plastipack to Delhi C5010</t>
  </si>
  <si>
    <t>Porter  From Delhi to Chandigarh C5010</t>
  </si>
  <si>
    <t>Porter From to Mohali to Hella part C5010</t>
  </si>
  <si>
    <t xml:space="preserve">Porter From Marcopolo to AV Maching C5014 </t>
  </si>
  <si>
    <t xml:space="preserve">Madical kit for staff </t>
  </si>
  <si>
    <t>Porter From Plastipack to ….............. C5033</t>
  </si>
  <si>
    <t xml:space="preserve">Porter From Faridabad to Bajaj C5033 </t>
  </si>
  <si>
    <t xml:space="preserve">Milk </t>
  </si>
  <si>
    <t xml:space="preserve">Milk by Arjun </t>
  </si>
  <si>
    <t>Porter From Englabs to Passim C5074</t>
  </si>
  <si>
    <t xml:space="preserve">Mohali Survey team Tea Break </t>
  </si>
  <si>
    <t>Porter From Plastipack to Delhi C5010</t>
  </si>
  <si>
    <t xml:space="preserve">Mohali Survey team Lunch Break </t>
  </si>
  <si>
    <t xml:space="preserve">Ishaan Entrpricess pen pickup Courier by Ratnesh </t>
  </si>
  <si>
    <t xml:space="preserve">Porter From Industrial to …..................... , Enertics mold and parts only </t>
  </si>
  <si>
    <t>Porter From Telekar to Airport C5008</t>
  </si>
  <si>
    <t>Porter From Chandigarh to Tribun to Englabs office C5074, C5071, C5077</t>
  </si>
  <si>
    <t>Porter  From to Workaad to Nipa C5069</t>
  </si>
  <si>
    <t>Porter From Englabs to Sark C5077, C5086</t>
  </si>
  <si>
    <t>Porter  From Industrial area to Englabs  Enertics Gasket</t>
  </si>
  <si>
    <t>Porter From Hankel to airport to Channai office C5008</t>
  </si>
  <si>
    <t xml:space="preserve">Purchased  to MJF Machine Springs by Anurag </t>
  </si>
  <si>
    <t>Porter Frome Orient to …........... C5062</t>
  </si>
  <si>
    <t xml:space="preserve">Porter From Sanjeev sheet metal to Simson </t>
  </si>
  <si>
    <t>Porter From Englabs to Simson C5087</t>
  </si>
  <si>
    <t>Porter From Orient to…............. C5062</t>
  </si>
  <si>
    <t>Purchase Waste Pipe Invoice No. 2668</t>
  </si>
  <si>
    <t>Porter From Englabs to Aebocode C5106</t>
  </si>
  <si>
    <t xml:space="preserve">Purchased to Milk 1 Packet Sky5 </t>
  </si>
  <si>
    <t>A/C Holder :- Englabs Site Cash   April 2026</t>
  </si>
  <si>
    <t xml:space="preserve">Printer Repair Sky5 </t>
  </si>
  <si>
    <t>Englabs IDFC</t>
  </si>
  <si>
    <t>Englabs Indusand</t>
  </si>
  <si>
    <t>Porter From Talekar to Airport C5008</t>
  </si>
  <si>
    <t>Porter From Chennai Airport to Hankl C5008</t>
  </si>
  <si>
    <t>Porter From SK Techno to Hella Metal C5010</t>
  </si>
  <si>
    <t>Porter From Henkel telekar to Airport C5008</t>
  </si>
  <si>
    <t xml:space="preserve">RO Service + Candale Charge </t>
  </si>
  <si>
    <t xml:space="preserve">Purchase to Delhot Expo Materials </t>
  </si>
  <si>
    <t>Porter  Talekar to Pune Airport C5008</t>
  </si>
  <si>
    <t>Blinkit UPI</t>
  </si>
  <si>
    <t>Porter From Channai to Henkel C5008</t>
  </si>
  <si>
    <t>Porter From ITL to Zirakpur C5090</t>
  </si>
  <si>
    <t xml:space="preserve">Milk 4 nos + 2 Sunday by Arjun </t>
  </si>
  <si>
    <t>Sai Dairy Milk Last Bill Full &amp; Final</t>
  </si>
  <si>
    <t>Porter From Channai to Henkel C5092</t>
  </si>
  <si>
    <t>Porter  From Excel to Marelli C4925</t>
  </si>
  <si>
    <t>C5014</t>
  </si>
  <si>
    <t>Porter From Plastipack to Henkel C5110</t>
  </si>
  <si>
    <t>Porter From Talekar to Pune Airport C5008</t>
  </si>
  <si>
    <t xml:space="preserve">Verified Paytm Merchant </t>
  </si>
  <si>
    <t xml:space="preserve">Purchase to MDF SHEET 6MM &amp; PATCH 3INCH &amp; GITTI &amp; RENT </t>
  </si>
  <si>
    <t>Bharat sir</t>
  </si>
  <si>
    <t xml:space="preserve">Gaurav </t>
  </si>
  <si>
    <t>There was an error with the payment. Please check this amount and contact the Verified Accounts team.</t>
  </si>
  <si>
    <t>Porter From Delhi to CHD C5131</t>
  </si>
  <si>
    <t>Porter From Excel to Karnal C5131</t>
  </si>
  <si>
    <t xml:space="preserve">Porter by devanshu </t>
  </si>
  <si>
    <t xml:space="preserve"> Purchased to MDF Sheet 6MM &amp; Patch half Inch &amp; Rent </t>
  </si>
  <si>
    <r>
      <t xml:space="preserve">Purchased to White Fiber SHEET + Patch  </t>
    </r>
    <r>
      <rPr>
        <sz val="10"/>
        <color rgb="FFFF0000"/>
        <rFont val="Cambria"/>
        <family val="1"/>
        <scheme val="major"/>
      </rPr>
      <t>Cash</t>
    </r>
  </si>
  <si>
    <r>
      <t>Purchase to Adrak</t>
    </r>
    <r>
      <rPr>
        <sz val="10"/>
        <color rgb="FFFF0000"/>
        <rFont val="Cambria"/>
        <family val="1"/>
        <scheme val="major"/>
      </rPr>
      <t xml:space="preserve"> Cash</t>
    </r>
  </si>
  <si>
    <t>cash amount</t>
  </si>
  <si>
    <t>Project ID</t>
  </si>
  <si>
    <t>C5033</t>
  </si>
  <si>
    <t>C5008</t>
  </si>
  <si>
    <t>C5010</t>
  </si>
  <si>
    <t>C5108</t>
  </si>
  <si>
    <t>C5090</t>
  </si>
  <si>
    <t>C5092</t>
  </si>
  <si>
    <t>C4925</t>
  </si>
  <si>
    <t>C5110</t>
  </si>
  <si>
    <t>C5131</t>
  </si>
  <si>
    <t>Budget Dishpach</t>
  </si>
  <si>
    <t>C-XXXX</t>
  </si>
  <si>
    <t>Project Dr.</t>
  </si>
  <si>
    <t>Project wise Profit / Loss</t>
  </si>
  <si>
    <t>Zepto / Blinkit</t>
  </si>
  <si>
    <t xml:space="preserve">Emergency </t>
  </si>
  <si>
    <t>Maintenance</t>
  </si>
  <si>
    <r>
      <t>Purchase to Milk (Sunday)</t>
    </r>
    <r>
      <rPr>
        <sz val="10"/>
        <color rgb="FFFF0000"/>
        <rFont val="Cambria"/>
        <family val="1"/>
        <scheme val="major"/>
      </rPr>
      <t xml:space="preserve"> Cash</t>
    </r>
  </si>
  <si>
    <t>Remarks</t>
  </si>
  <si>
    <t>Zepto Account Transfer for  Milk etc</t>
  </si>
  <si>
    <t xml:space="preserve">Purchased to Panchkula graphics (Stickers) For Delhi Expo by Devanshu  </t>
  </si>
  <si>
    <t>Porter From Raj Enterprices to Englabs For Delhi Expo. (TV STAND)</t>
  </si>
  <si>
    <t>Purchase to Bondtite and Favikwik   For delhi Expo</t>
  </si>
  <si>
    <t>UPI Rohit verma   For delhi Expo</t>
  </si>
  <si>
    <t>Purchase to TV Stand For delhi Expo</t>
  </si>
  <si>
    <t>Blinkit MILK UPI</t>
  </si>
  <si>
    <r>
      <t>Purchase to Milk )</t>
    </r>
    <r>
      <rPr>
        <sz val="10"/>
        <color rgb="FFFF0000"/>
        <rFont val="Cambria"/>
        <family val="1"/>
        <scheme val="major"/>
      </rPr>
      <t xml:space="preserve"> Cash</t>
    </r>
  </si>
  <si>
    <t>Porter From Faridabad to  Bajaj  (C5033)</t>
  </si>
  <si>
    <t>Porter From Englabs to  Goel  C4929</t>
  </si>
  <si>
    <t>C4929</t>
  </si>
  <si>
    <t>Aebocode Visit Shubham Expo Delhi</t>
  </si>
  <si>
    <t>Porter From Fixpro to Airport Expo Delhi</t>
  </si>
  <si>
    <t>Porter From Fix Pro to Airport Expo Delhi</t>
  </si>
  <si>
    <t>Porter From Rohit sir PA11 to Endureair C5098</t>
  </si>
  <si>
    <t>Porter From Plastipack to 3D Paradise. C5108</t>
  </si>
  <si>
    <t>Porter From Talekar to Pune Airport C5092</t>
  </si>
  <si>
    <t>C5098</t>
  </si>
  <si>
    <t>Porter From Sonalika Delhi to Chandigarh C5131</t>
  </si>
  <si>
    <t>Porter From Tribune to Englabs ITL C5131</t>
  </si>
  <si>
    <t>Porter From Faridabad to AV Machining Pune. C5014</t>
  </si>
  <si>
    <t>Porter From Adoroitec to AV Machining C5014</t>
  </si>
  <si>
    <t>Porter From Ultra Spark to Enertics  C4851</t>
  </si>
  <si>
    <t>c4851</t>
  </si>
  <si>
    <t>Porter From Enertics to Englabs by Anurag C4851</t>
  </si>
  <si>
    <t xml:space="preserve">Purchesed to Scrow For Delhi Expo </t>
  </si>
  <si>
    <t>Purchase to Extension Fuse C4465</t>
  </si>
  <si>
    <t>C4465</t>
  </si>
  <si>
    <t>Purchsed to Glash for Medical Device Expo Delhi</t>
  </si>
  <si>
    <t xml:space="preserve">Porter From CHD Paint to Englabs </t>
  </si>
  <si>
    <t>Purchase to Faviquick Gel For C4950</t>
  </si>
  <si>
    <t>C4950</t>
  </si>
  <si>
    <t>C5142</t>
  </si>
  <si>
    <t>C5135</t>
  </si>
  <si>
    <t>Porter From Cadqua  to Rohit C5135</t>
  </si>
  <si>
    <t>Porter From Amit Bhri  to Enclosure C-….......</t>
  </si>
  <si>
    <t>Porter From Techno to Delhi C5142</t>
  </si>
  <si>
    <t>Porter From Telekar to Pune Airport C5008</t>
  </si>
  <si>
    <t>PORTER From Englabs  to Hella Dera  bassi C4950</t>
  </si>
  <si>
    <t>C4851</t>
  </si>
  <si>
    <t>Porter From Ambala to Englabs by Indrive (Drone Survey Invoice)</t>
  </si>
  <si>
    <t>Porter From Industrial area phase to Englabs C4851</t>
  </si>
  <si>
    <t>DONE</t>
  </si>
  <si>
    <t>Porter FromChannai Airport to Henkel C5008</t>
  </si>
  <si>
    <t>Porter From Englabs to Menthosa C5133</t>
  </si>
  <si>
    <t>C5133</t>
  </si>
  <si>
    <t>C5144</t>
  </si>
  <si>
    <t>Porter From Noida to gurugram C5144</t>
  </si>
  <si>
    <t>Porter From Excel Faridabad C5138</t>
  </si>
  <si>
    <t>C5138</t>
  </si>
  <si>
    <t>Zepto UPI</t>
  </si>
  <si>
    <t>Porter From Faridabad to HC Robotics C5138</t>
  </si>
  <si>
    <t>Porter From Cadqua to Orient C…........</t>
  </si>
  <si>
    <t>Porter From Cadqua to Henjel C5154</t>
  </si>
  <si>
    <t>C5154</t>
  </si>
  <si>
    <t>Porter From Englabs to Aebocode C4922</t>
  </si>
  <si>
    <t>C4922</t>
  </si>
  <si>
    <t>Porter From Delhi to Chandigarh C4922 &amp; 4967</t>
  </si>
  <si>
    <t>C4922 &amp;4967</t>
  </si>
  <si>
    <t>Saha Drone Survey</t>
  </si>
  <si>
    <t>Labat Asia Vist Shubham ,</t>
  </si>
  <si>
    <t xml:space="preserve">Zepto Wallet </t>
  </si>
  <si>
    <t>as per New Projects Visit</t>
  </si>
  <si>
    <t>Purchased to Handtowel For Washrrom 2nos</t>
  </si>
  <si>
    <t xml:space="preserve">Kabadi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</si>
</sst>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 * #,##0.0_ ;_ * \-#,##0.0_ ;_ * &quot;-&quot;??_ ;_ @_ "/>
    <numFmt numFmtId="168" formatCode="[$-409]d\-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0"/>
      <name val="Cambria"/>
      <family val="1"/>
      <scheme val="major"/>
    </font>
    <font>
      <sz val="10"/>
      <name val="Cambria"/>
      <family val="1"/>
      <scheme val="major"/>
    </font>
    <font>
      <b/>
      <u/>
      <sz val="10"/>
      <color rgb="FFED0000"/>
      <name val="Cambria"/>
      <family val="1"/>
      <scheme val="major"/>
    </font>
    <font>
      <b/>
      <u/>
      <sz val="14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6"/>
      <color theme="1"/>
      <name val="Cambria"/>
      <family val="1"/>
      <scheme val="maj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166" fontId="4" fillId="0" borderId="3" xfId="1" applyNumberFormat="1" applyFont="1" applyBorder="1" applyAlignment="1">
      <alignment horizontal="center"/>
    </xf>
    <xf numFmtId="166" fontId="4" fillId="0" borderId="2" xfId="1" applyNumberFormat="1" applyFont="1" applyBorder="1" applyAlignment="1">
      <alignment horizontal="center"/>
    </xf>
    <xf numFmtId="165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wrapText="1"/>
    </xf>
    <xf numFmtId="0" fontId="2" fillId="0" borderId="5" xfId="0" applyFont="1" applyBorder="1"/>
    <xf numFmtId="167" fontId="2" fillId="0" borderId="5" xfId="1" applyNumberFormat="1" applyFont="1" applyFill="1" applyBorder="1" applyAlignment="1">
      <alignment horizontal="center"/>
    </xf>
    <xf numFmtId="167" fontId="4" fillId="0" borderId="5" xfId="1" applyNumberFormat="1" applyFont="1" applyBorder="1"/>
    <xf numFmtId="0" fontId="4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4" fillId="0" borderId="1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165" fontId="2" fillId="0" borderId="0" xfId="0" applyNumberFormat="1" applyFont="1" applyAlignment="1">
      <alignment horizontal="left"/>
    </xf>
    <xf numFmtId="168" fontId="2" fillId="0" borderId="1" xfId="0" applyNumberFormat="1" applyFont="1" applyBorder="1" applyAlignment="1">
      <alignment horizontal="left" vertical="center"/>
    </xf>
    <xf numFmtId="168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167" fontId="4" fillId="0" borderId="1" xfId="1" applyNumberFormat="1" applyFont="1" applyFill="1" applyBorder="1" applyAlignment="1">
      <alignment vertical="center"/>
    </xf>
    <xf numFmtId="167" fontId="2" fillId="0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/>
    </xf>
    <xf numFmtId="167" fontId="6" fillId="0" borderId="1" xfId="1" applyNumberFormat="1" applyFont="1" applyFill="1" applyBorder="1" applyAlignment="1">
      <alignment vertical="center"/>
    </xf>
    <xf numFmtId="166" fontId="3" fillId="4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 applyAlignment="1">
      <alignment horizontal="center"/>
    </xf>
    <xf numFmtId="166" fontId="7" fillId="6" borderId="4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vertical="center"/>
    </xf>
    <xf numFmtId="167" fontId="2" fillId="5" borderId="1" xfId="1" applyNumberFormat="1" applyFont="1" applyFill="1" applyBorder="1" applyAlignment="1">
      <alignment vertical="center"/>
    </xf>
    <xf numFmtId="167" fontId="4" fillId="5" borderId="1" xfId="1" applyNumberFormat="1" applyFont="1" applyFill="1" applyBorder="1" applyAlignment="1">
      <alignment vertical="center"/>
    </xf>
    <xf numFmtId="167" fontId="4" fillId="7" borderId="1" xfId="1" applyNumberFormat="1" applyFont="1" applyFill="1" applyBorder="1" applyAlignment="1">
      <alignment vertical="center"/>
    </xf>
    <xf numFmtId="0" fontId="2" fillId="8" borderId="1" xfId="0" applyFont="1" applyFill="1" applyBorder="1"/>
    <xf numFmtId="165" fontId="2" fillId="0" borderId="12" xfId="0" applyNumberFormat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7" xfId="0" applyFont="1" applyBorder="1"/>
    <xf numFmtId="0" fontId="3" fillId="2" borderId="13" xfId="0" applyFont="1" applyFill="1" applyBorder="1" applyAlignment="1">
      <alignment horizontal="center"/>
    </xf>
    <xf numFmtId="0" fontId="2" fillId="0" borderId="14" xfId="0" applyFont="1" applyBorder="1"/>
    <xf numFmtId="165" fontId="2" fillId="0" borderId="15" xfId="0" applyNumberFormat="1" applyFont="1" applyBorder="1" applyAlignment="1">
      <alignment horizontal="left"/>
    </xf>
    <xf numFmtId="166" fontId="4" fillId="0" borderId="16" xfId="1" applyNumberFormat="1" applyFont="1" applyBorder="1" applyAlignment="1">
      <alignment horizontal="center"/>
    </xf>
    <xf numFmtId="168" fontId="2" fillId="0" borderId="17" xfId="0" applyNumberFormat="1" applyFont="1" applyBorder="1" applyAlignment="1">
      <alignment horizontal="left"/>
    </xf>
    <xf numFmtId="167" fontId="2" fillId="0" borderId="18" xfId="1" applyNumberFormat="1" applyFont="1" applyBorder="1"/>
    <xf numFmtId="168" fontId="2" fillId="0" borderId="8" xfId="0" applyNumberFormat="1" applyFont="1" applyBorder="1" applyAlignment="1">
      <alignment horizontal="left" vertical="center"/>
    </xf>
    <xf numFmtId="167" fontId="2" fillId="0" borderId="19" xfId="1" applyNumberFormat="1" applyFont="1" applyBorder="1" applyAlignment="1">
      <alignment vertical="center"/>
    </xf>
    <xf numFmtId="168" fontId="2" fillId="0" borderId="20" xfId="0" applyNumberFormat="1" applyFont="1" applyBorder="1" applyAlignment="1">
      <alignment horizontal="center" vertical="center"/>
    </xf>
    <xf numFmtId="167" fontId="2" fillId="0" borderId="19" xfId="1" applyNumberFormat="1" applyFont="1" applyFill="1" applyBorder="1" applyAlignment="1">
      <alignment vertical="center"/>
    </xf>
    <xf numFmtId="168" fontId="2" fillId="0" borderId="17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left"/>
    </xf>
    <xf numFmtId="168" fontId="2" fillId="0" borderId="9" xfId="0" applyNumberFormat="1" applyFont="1" applyBorder="1" applyAlignment="1">
      <alignment horizontal="left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/>
    <xf numFmtId="167" fontId="2" fillId="0" borderId="10" xfId="1" applyNumberFormat="1" applyFont="1" applyFill="1" applyBorder="1" applyAlignment="1">
      <alignment vertical="center"/>
    </xf>
    <xf numFmtId="167" fontId="4" fillId="0" borderId="10" xfId="1" applyNumberFormat="1" applyFont="1" applyFill="1" applyBorder="1" applyAlignment="1">
      <alignment vertical="center"/>
    </xf>
    <xf numFmtId="167" fontId="2" fillId="0" borderId="11" xfId="1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/>
    <xf numFmtId="168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wrapText="1"/>
    </xf>
    <xf numFmtId="167" fontId="2" fillId="0" borderId="5" xfId="1" applyNumberFormat="1" applyFont="1" applyFill="1" applyBorder="1" applyAlignment="1">
      <alignment vertical="center"/>
    </xf>
    <xf numFmtId="167" fontId="4" fillId="0" borderId="5" xfId="1" applyNumberFormat="1" applyFont="1" applyFill="1" applyBorder="1" applyAlignment="1">
      <alignment vertical="center"/>
    </xf>
    <xf numFmtId="166" fontId="4" fillId="0" borderId="1" xfId="1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6" fontId="7" fillId="6" borderId="1" xfId="1" applyNumberFormat="1" applyFont="1" applyFill="1" applyBorder="1" applyAlignment="1">
      <alignment horizontal="center"/>
    </xf>
    <xf numFmtId="166" fontId="3" fillId="5" borderId="1" xfId="1" applyNumberFormat="1" applyFont="1" applyFill="1" applyBorder="1" applyAlignment="1">
      <alignment horizontal="center"/>
    </xf>
    <xf numFmtId="167" fontId="2" fillId="0" borderId="1" xfId="1" applyNumberFormat="1" applyFont="1" applyFill="1" applyBorder="1" applyAlignment="1">
      <alignment horizontal="center"/>
    </xf>
    <xf numFmtId="167" fontId="4" fillId="0" borderId="1" xfId="1" applyNumberFormat="1" applyFont="1" applyBorder="1"/>
    <xf numFmtId="167" fontId="6" fillId="0" borderId="5" xfId="1" applyNumberFormat="1" applyFont="1" applyFill="1" applyBorder="1" applyAlignment="1">
      <alignment vertical="center"/>
    </xf>
    <xf numFmtId="165" fontId="2" fillId="0" borderId="8" xfId="0" applyNumberFormat="1" applyFont="1" applyBorder="1" applyAlignment="1">
      <alignment horizontal="left"/>
    </xf>
    <xf numFmtId="166" fontId="4" fillId="0" borderId="19" xfId="1" applyNumberFormat="1" applyFont="1" applyBorder="1" applyAlignment="1">
      <alignment horizontal="center"/>
    </xf>
    <xf numFmtId="165" fontId="4" fillId="3" borderId="8" xfId="0" applyNumberFormat="1" applyFont="1" applyFill="1" applyBorder="1" applyAlignment="1">
      <alignment horizontal="center" vertical="center"/>
    </xf>
    <xf numFmtId="166" fontId="3" fillId="4" borderId="19" xfId="1" applyNumberFormat="1" applyFont="1" applyFill="1" applyBorder="1" applyAlignment="1">
      <alignment horizontal="center"/>
    </xf>
    <xf numFmtId="167" fontId="2" fillId="0" borderId="19" xfId="1" applyNumberFormat="1" applyFont="1" applyBorder="1"/>
    <xf numFmtId="168" fontId="2" fillId="0" borderId="8" xfId="0" applyNumberFormat="1" applyFont="1" applyBorder="1" applyAlignment="1">
      <alignment horizontal="center" vertical="center"/>
    </xf>
    <xf numFmtId="167" fontId="6" fillId="0" borderId="10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8" fontId="2" fillId="0" borderId="8" xfId="0" applyNumberFormat="1" applyFont="1" applyBorder="1" applyAlignment="1">
      <alignment vertical="center"/>
    </xf>
    <xf numFmtId="168" fontId="2" fillId="0" borderId="17" xfId="0" applyNumberFormat="1" applyFont="1" applyBorder="1" applyAlignment="1">
      <alignment vertical="center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167" fontId="2" fillId="7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6" xfId="0" applyFont="1" applyBorder="1"/>
    <xf numFmtId="0" fontId="2" fillId="7" borderId="6" xfId="0" applyFont="1" applyFill="1" applyBorder="1"/>
    <xf numFmtId="166" fontId="4" fillId="9" borderId="1" xfId="1" applyNumberFormat="1" applyFont="1" applyFill="1" applyBorder="1" applyAlignment="1">
      <alignment horizontal="center" vertical="center"/>
    </xf>
    <xf numFmtId="166" fontId="4" fillId="9" borderId="1" xfId="1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top"/>
    </xf>
    <xf numFmtId="167" fontId="4" fillId="4" borderId="1" xfId="1" applyNumberFormat="1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167" fontId="4" fillId="13" borderId="1" xfId="1" applyNumberFormat="1" applyFont="1" applyFill="1" applyBorder="1" applyAlignment="1">
      <alignment vertical="center"/>
    </xf>
    <xf numFmtId="167" fontId="2" fillId="0" borderId="1" xfId="1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168" fontId="2" fillId="0" borderId="20" xfId="0" applyNumberFormat="1" applyFont="1" applyBorder="1" applyAlignment="1">
      <alignment horizontal="center" vertical="center"/>
    </xf>
    <xf numFmtId="168" fontId="2" fillId="0" borderId="21" xfId="0" applyNumberFormat="1" applyFont="1" applyBorder="1" applyAlignment="1">
      <alignment horizontal="center" vertical="center"/>
    </xf>
    <xf numFmtId="168" fontId="2" fillId="0" borderId="17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168" fontId="2" fillId="0" borderId="9" xfId="0" applyNumberFormat="1" applyFont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168" fontId="2" fillId="0" borderId="2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165" fontId="12" fillId="7" borderId="28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5" fontId="4" fillId="3" borderId="20" xfId="0" applyNumberFormat="1" applyFont="1" applyFill="1" applyBorder="1" applyAlignment="1">
      <alignment horizontal="center" vertical="center"/>
    </xf>
    <xf numFmtId="165" fontId="4" fillId="3" borderId="17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  <pageSetUpPr fitToPage="1"/>
  </sheetPr>
  <dimension ref="A1:I111"/>
  <sheetViews>
    <sheetView view="pageBreakPreview" zoomScale="115" zoomScaleNormal="100" zoomScaleSheetLayoutView="115" workbookViewId="0">
      <selection activeCell="E25" sqref="E25"/>
    </sheetView>
  </sheetViews>
  <sheetFormatPr defaultColWidth="8.85546875" defaultRowHeight="12.75" x14ac:dyDescent="0.2"/>
  <cols>
    <col min="1" max="1" width="10.5703125" style="19" bestFit="1" customWidth="1"/>
    <col min="2" max="2" width="13.28515625" style="16" bestFit="1" customWidth="1"/>
    <col min="3" max="3" width="21.28515625" style="1" bestFit="1" customWidth="1"/>
    <col min="4" max="4" width="15.42578125" style="1" bestFit="1" customWidth="1"/>
    <col min="5" max="5" width="95.5703125" style="1" bestFit="1" customWidth="1"/>
    <col min="6" max="6" width="11.85546875" style="1" bestFit="1" customWidth="1"/>
    <col min="7" max="7" width="12.7109375" style="1" customWidth="1"/>
    <col min="8" max="8" width="14.85546875" style="1" customWidth="1"/>
    <col min="9" max="9" width="2.28515625" style="1" bestFit="1" customWidth="1"/>
    <col min="10" max="16384" width="8.85546875" style="1"/>
  </cols>
  <sheetData>
    <row r="1" spans="1:8" x14ac:dyDescent="0.2">
      <c r="A1" s="35"/>
      <c r="B1" s="36"/>
      <c r="C1" s="37"/>
      <c r="D1" s="37"/>
      <c r="E1" s="38" t="s">
        <v>107</v>
      </c>
      <c r="F1" s="37"/>
      <c r="G1" s="37"/>
      <c r="H1" s="39"/>
    </row>
    <row r="2" spans="1:8" ht="13.5" thickBot="1" x14ac:dyDescent="0.25">
      <c r="A2" s="40"/>
      <c r="F2" s="2" t="s">
        <v>0</v>
      </c>
      <c r="G2" s="3" t="s">
        <v>1</v>
      </c>
      <c r="H2" s="41" t="s">
        <v>2</v>
      </c>
    </row>
    <row r="3" spans="1:8" s="22" customFormat="1" ht="13.5" thickBot="1" x14ac:dyDescent="0.25">
      <c r="A3" s="4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29">
        <f>SUM(F4:F267)</f>
        <v>49684</v>
      </c>
      <c r="G3" s="28">
        <f>SUM(G4:G267)</f>
        <v>49539</v>
      </c>
      <c r="H3" s="27">
        <f>+F3-G3</f>
        <v>145</v>
      </c>
    </row>
    <row r="4" spans="1:8" x14ac:dyDescent="0.2">
      <c r="A4" s="42"/>
      <c r="B4" s="6"/>
      <c r="C4" s="6"/>
      <c r="D4" s="6"/>
      <c r="E4" s="7"/>
      <c r="F4" s="8"/>
      <c r="G4" s="9"/>
      <c r="H4" s="43"/>
    </row>
    <row r="5" spans="1:8" s="15" customFormat="1" x14ac:dyDescent="0.25">
      <c r="A5" s="44">
        <v>46023</v>
      </c>
      <c r="B5" s="17" t="s">
        <v>9</v>
      </c>
      <c r="C5" s="17" t="s">
        <v>9</v>
      </c>
      <c r="D5" s="17" t="s">
        <v>9</v>
      </c>
      <c r="E5" s="12" t="s">
        <v>10</v>
      </c>
      <c r="F5" s="13">
        <v>818</v>
      </c>
      <c r="G5" s="14">
        <v>0</v>
      </c>
      <c r="H5" s="45">
        <f t="shared" ref="H5:H86" si="0">H4+F5-G5</f>
        <v>818</v>
      </c>
    </row>
    <row r="6" spans="1:8" s="15" customFormat="1" x14ac:dyDescent="0.25">
      <c r="A6" s="120">
        <v>46024</v>
      </c>
      <c r="B6" s="17"/>
      <c r="C6" s="17"/>
      <c r="D6" s="17"/>
      <c r="E6" s="12" t="s">
        <v>11</v>
      </c>
      <c r="F6" s="24"/>
      <c r="G6" s="23">
        <v>400</v>
      </c>
      <c r="H6" s="47">
        <f t="shared" si="0"/>
        <v>418</v>
      </c>
    </row>
    <row r="7" spans="1:8" s="15" customFormat="1" x14ac:dyDescent="0.25">
      <c r="A7" s="122"/>
      <c r="B7" s="17"/>
      <c r="C7" s="17"/>
      <c r="D7" s="17"/>
      <c r="E7" s="12" t="s">
        <v>12</v>
      </c>
      <c r="F7" s="24"/>
      <c r="G7" s="23">
        <v>110</v>
      </c>
      <c r="H7" s="47">
        <f t="shared" si="0"/>
        <v>308</v>
      </c>
    </row>
    <row r="8" spans="1:8" s="15" customFormat="1" x14ac:dyDescent="0.25">
      <c r="A8" s="120">
        <v>46025</v>
      </c>
      <c r="B8" s="17"/>
      <c r="C8" s="17"/>
      <c r="D8" s="17"/>
      <c r="E8" s="12" t="s">
        <v>13</v>
      </c>
      <c r="F8" s="24"/>
      <c r="G8" s="23">
        <v>139</v>
      </c>
      <c r="H8" s="47">
        <f t="shared" si="0"/>
        <v>169</v>
      </c>
    </row>
    <row r="9" spans="1:8" s="15" customFormat="1" x14ac:dyDescent="0.25">
      <c r="A9" s="122"/>
      <c r="B9" s="17"/>
      <c r="C9" s="17"/>
      <c r="D9" s="17"/>
      <c r="E9" s="12" t="s">
        <v>19</v>
      </c>
      <c r="F9" s="24"/>
      <c r="G9" s="23">
        <v>82</v>
      </c>
      <c r="H9" s="47">
        <f t="shared" si="0"/>
        <v>87</v>
      </c>
    </row>
    <row r="10" spans="1:8" s="15" customFormat="1" x14ac:dyDescent="0.2">
      <c r="A10" s="44">
        <v>46027</v>
      </c>
      <c r="B10" s="18" t="s">
        <v>60</v>
      </c>
      <c r="C10" s="17" t="s">
        <v>7</v>
      </c>
      <c r="D10" s="17" t="s">
        <v>16</v>
      </c>
      <c r="E10" s="12" t="s">
        <v>14</v>
      </c>
      <c r="F10" s="24">
        <v>1620</v>
      </c>
      <c r="G10" s="23">
        <v>50</v>
      </c>
      <c r="H10" s="47">
        <f t="shared" si="0"/>
        <v>1657</v>
      </c>
    </row>
    <row r="11" spans="1:8" s="15" customFormat="1" x14ac:dyDescent="0.25">
      <c r="A11" s="120">
        <v>46028</v>
      </c>
      <c r="B11" s="17"/>
      <c r="C11" s="17"/>
      <c r="D11" s="17"/>
      <c r="E11" s="12" t="s">
        <v>17</v>
      </c>
      <c r="F11" s="24">
        <v>0</v>
      </c>
      <c r="G11" s="23">
        <v>1350</v>
      </c>
      <c r="H11" s="47">
        <f t="shared" si="0"/>
        <v>307</v>
      </c>
    </row>
    <row r="12" spans="1:8" s="15" customFormat="1" x14ac:dyDescent="0.25">
      <c r="A12" s="122"/>
      <c r="B12" s="17"/>
      <c r="C12" s="17"/>
      <c r="D12" s="17"/>
      <c r="E12" s="12" t="s">
        <v>18</v>
      </c>
      <c r="F12" s="24"/>
      <c r="G12" s="23">
        <v>100</v>
      </c>
      <c r="H12" s="47">
        <f t="shared" si="0"/>
        <v>207</v>
      </c>
    </row>
    <row r="13" spans="1:8" s="15" customFormat="1" x14ac:dyDescent="0.2">
      <c r="A13" s="120">
        <v>46029</v>
      </c>
      <c r="B13" s="18" t="s">
        <v>59</v>
      </c>
      <c r="C13" s="17" t="s">
        <v>25</v>
      </c>
      <c r="D13" s="17" t="s">
        <v>15</v>
      </c>
      <c r="E13" s="12" t="s">
        <v>28</v>
      </c>
      <c r="F13" s="24">
        <v>3000</v>
      </c>
      <c r="G13" s="23">
        <v>220</v>
      </c>
      <c r="H13" s="47">
        <f t="shared" si="0"/>
        <v>2987</v>
      </c>
    </row>
    <row r="14" spans="1:8" s="15" customFormat="1" x14ac:dyDescent="0.25">
      <c r="A14" s="121"/>
      <c r="B14" s="17"/>
      <c r="C14" s="17"/>
      <c r="D14" s="17"/>
      <c r="E14" s="12" t="s">
        <v>29</v>
      </c>
      <c r="F14" s="24"/>
      <c r="G14" s="23">
        <v>550</v>
      </c>
      <c r="H14" s="47">
        <f t="shared" si="0"/>
        <v>2437</v>
      </c>
    </row>
    <row r="15" spans="1:8" s="15" customFormat="1" x14ac:dyDescent="0.25">
      <c r="A15" s="122"/>
      <c r="B15" s="17"/>
      <c r="C15" s="17"/>
      <c r="D15" s="17"/>
      <c r="E15" s="12" t="s">
        <v>30</v>
      </c>
      <c r="F15" s="24"/>
      <c r="G15" s="23">
        <v>274</v>
      </c>
      <c r="H15" s="47">
        <f t="shared" si="0"/>
        <v>2163</v>
      </c>
    </row>
    <row r="16" spans="1:8" s="15" customFormat="1" x14ac:dyDescent="0.25">
      <c r="A16" s="120">
        <v>46030</v>
      </c>
      <c r="B16" s="17"/>
      <c r="C16" s="17"/>
      <c r="D16" s="17"/>
      <c r="E16" s="12" t="s">
        <v>31</v>
      </c>
      <c r="F16" s="24"/>
      <c r="G16" s="23">
        <v>400</v>
      </c>
      <c r="H16" s="47">
        <f t="shared" si="0"/>
        <v>1763</v>
      </c>
    </row>
    <row r="17" spans="1:8" s="15" customFormat="1" x14ac:dyDescent="0.25">
      <c r="A17" s="121"/>
      <c r="B17" s="17"/>
      <c r="C17" s="17"/>
      <c r="D17" s="17"/>
      <c r="E17" s="12" t="s">
        <v>32</v>
      </c>
      <c r="F17" s="24"/>
      <c r="G17" s="23">
        <v>250</v>
      </c>
      <c r="H17" s="47">
        <f t="shared" si="0"/>
        <v>1513</v>
      </c>
    </row>
    <row r="18" spans="1:8" s="15" customFormat="1" x14ac:dyDescent="0.25">
      <c r="A18" s="121"/>
      <c r="B18" s="17"/>
      <c r="C18" s="17"/>
      <c r="D18" s="17"/>
      <c r="E18" s="12" t="s">
        <v>33</v>
      </c>
      <c r="F18" s="24"/>
      <c r="G18" s="23">
        <v>150</v>
      </c>
      <c r="H18" s="47">
        <f t="shared" si="0"/>
        <v>1363</v>
      </c>
    </row>
    <row r="19" spans="1:8" s="15" customFormat="1" x14ac:dyDescent="0.25">
      <c r="A19" s="121"/>
      <c r="B19" s="17"/>
      <c r="C19" s="17"/>
      <c r="D19" s="17"/>
      <c r="E19" s="12" t="s">
        <v>34</v>
      </c>
      <c r="F19" s="24"/>
      <c r="G19" s="23">
        <v>300</v>
      </c>
      <c r="H19" s="47">
        <f t="shared" si="0"/>
        <v>1063</v>
      </c>
    </row>
    <row r="20" spans="1:8" s="15" customFormat="1" x14ac:dyDescent="0.25">
      <c r="A20" s="121"/>
      <c r="B20" s="17"/>
      <c r="C20" s="17"/>
      <c r="D20" s="17"/>
      <c r="E20" s="12" t="s">
        <v>35</v>
      </c>
      <c r="F20" s="24"/>
      <c r="G20" s="23">
        <v>106</v>
      </c>
      <c r="H20" s="47">
        <f t="shared" si="0"/>
        <v>957</v>
      </c>
    </row>
    <row r="21" spans="1:8" s="15" customFormat="1" x14ac:dyDescent="0.25">
      <c r="A21" s="121"/>
      <c r="B21" s="17"/>
      <c r="C21" s="17"/>
      <c r="D21" s="17"/>
      <c r="E21" s="12" t="s">
        <v>36</v>
      </c>
      <c r="F21" s="24"/>
      <c r="G21" s="23">
        <v>84</v>
      </c>
      <c r="H21" s="47">
        <f t="shared" si="0"/>
        <v>873</v>
      </c>
    </row>
    <row r="22" spans="1:8" s="15" customFormat="1" x14ac:dyDescent="0.25">
      <c r="A22" s="122"/>
      <c r="B22" s="17"/>
      <c r="C22" s="17"/>
      <c r="D22" s="17"/>
      <c r="E22" s="12" t="s">
        <v>37</v>
      </c>
      <c r="F22" s="24"/>
      <c r="G22" s="23">
        <v>500</v>
      </c>
      <c r="H22" s="47">
        <f t="shared" si="0"/>
        <v>373</v>
      </c>
    </row>
    <row r="23" spans="1:8" s="15" customFormat="1" x14ac:dyDescent="0.25">
      <c r="A23" s="120">
        <v>46031</v>
      </c>
      <c r="B23" s="17"/>
      <c r="C23" s="17" t="s">
        <v>20</v>
      </c>
      <c r="D23" s="17"/>
      <c r="E23" s="12" t="s">
        <v>21</v>
      </c>
      <c r="F23" s="24"/>
      <c r="G23" s="23">
        <v>64</v>
      </c>
      <c r="H23" s="47">
        <f t="shared" si="0"/>
        <v>309</v>
      </c>
    </row>
    <row r="24" spans="1:8" s="15" customFormat="1" x14ac:dyDescent="0.2">
      <c r="A24" s="121"/>
      <c r="B24" s="18" t="s">
        <v>59</v>
      </c>
      <c r="C24" s="17" t="s">
        <v>25</v>
      </c>
      <c r="D24" s="17" t="s">
        <v>27</v>
      </c>
      <c r="E24" s="12" t="s">
        <v>22</v>
      </c>
      <c r="F24" s="24">
        <v>4000</v>
      </c>
      <c r="G24" s="23">
        <v>117</v>
      </c>
      <c r="H24" s="47">
        <f t="shared" si="0"/>
        <v>4192</v>
      </c>
    </row>
    <row r="25" spans="1:8" s="15" customFormat="1" x14ac:dyDescent="0.25">
      <c r="A25" s="122"/>
      <c r="B25" s="17"/>
      <c r="C25" s="17"/>
      <c r="D25" s="17"/>
      <c r="E25" s="12" t="s">
        <v>38</v>
      </c>
      <c r="F25" s="24"/>
      <c r="G25" s="23">
        <v>20</v>
      </c>
      <c r="H25" s="47">
        <f t="shared" si="0"/>
        <v>4172</v>
      </c>
    </row>
    <row r="26" spans="1:8" s="15" customFormat="1" x14ac:dyDescent="0.25">
      <c r="A26" s="120">
        <v>46032</v>
      </c>
      <c r="B26" s="17"/>
      <c r="C26" s="17"/>
      <c r="D26" s="17"/>
      <c r="E26" s="12" t="s">
        <v>39</v>
      </c>
      <c r="F26" s="24"/>
      <c r="G26" s="23">
        <v>390</v>
      </c>
      <c r="H26" s="47">
        <f t="shared" si="0"/>
        <v>3782</v>
      </c>
    </row>
    <row r="27" spans="1:8" s="15" customFormat="1" x14ac:dyDescent="0.25">
      <c r="A27" s="122"/>
      <c r="B27" s="17"/>
      <c r="C27" s="17"/>
      <c r="D27" s="17"/>
      <c r="E27" s="12" t="s">
        <v>40</v>
      </c>
      <c r="F27" s="24"/>
      <c r="G27" s="23">
        <v>280</v>
      </c>
      <c r="H27" s="47">
        <f t="shared" si="0"/>
        <v>3502</v>
      </c>
    </row>
    <row r="28" spans="1:8" s="15" customFormat="1" x14ac:dyDescent="0.25">
      <c r="A28" s="44">
        <v>46033</v>
      </c>
      <c r="B28" s="17"/>
      <c r="C28" s="17"/>
      <c r="D28" s="17"/>
      <c r="E28" s="12" t="s">
        <v>41</v>
      </c>
      <c r="F28" s="24"/>
      <c r="G28" s="23">
        <v>380</v>
      </c>
      <c r="H28" s="47">
        <f t="shared" si="0"/>
        <v>3122</v>
      </c>
    </row>
    <row r="29" spans="1:8" s="15" customFormat="1" x14ac:dyDescent="0.25">
      <c r="A29" s="120">
        <v>46035</v>
      </c>
      <c r="B29" s="17"/>
      <c r="C29" s="17"/>
      <c r="D29" s="17"/>
      <c r="E29" s="12" t="s">
        <v>42</v>
      </c>
      <c r="F29" s="24"/>
      <c r="G29" s="23">
        <v>516</v>
      </c>
      <c r="H29" s="47">
        <f t="shared" si="0"/>
        <v>2606</v>
      </c>
    </row>
    <row r="30" spans="1:8" s="15" customFormat="1" x14ac:dyDescent="0.25">
      <c r="A30" s="121"/>
      <c r="B30" s="17"/>
      <c r="C30" s="17"/>
      <c r="D30" s="17"/>
      <c r="E30" s="12" t="s">
        <v>43</v>
      </c>
      <c r="F30" s="24"/>
      <c r="G30" s="23">
        <v>117</v>
      </c>
      <c r="H30" s="47">
        <f t="shared" si="0"/>
        <v>2489</v>
      </c>
    </row>
    <row r="31" spans="1:8" s="15" customFormat="1" x14ac:dyDescent="0.2">
      <c r="A31" s="121"/>
      <c r="B31" s="18" t="s">
        <v>59</v>
      </c>
      <c r="C31" s="17" t="s">
        <v>25</v>
      </c>
      <c r="D31" s="17" t="s">
        <v>26</v>
      </c>
      <c r="E31" s="12" t="s">
        <v>23</v>
      </c>
      <c r="F31" s="24">
        <v>5000</v>
      </c>
      <c r="G31" s="23">
        <v>40</v>
      </c>
      <c r="H31" s="47">
        <f t="shared" si="0"/>
        <v>7449</v>
      </c>
    </row>
    <row r="32" spans="1:8" s="15" customFormat="1" x14ac:dyDescent="0.25">
      <c r="A32" s="121"/>
      <c r="B32" s="17"/>
      <c r="C32" s="17"/>
      <c r="D32" s="17"/>
      <c r="E32" s="12" t="s">
        <v>18</v>
      </c>
      <c r="F32" s="24"/>
      <c r="G32" s="23">
        <v>30</v>
      </c>
      <c r="H32" s="47">
        <f t="shared" si="0"/>
        <v>7419</v>
      </c>
    </row>
    <row r="33" spans="1:8" s="15" customFormat="1" x14ac:dyDescent="0.25">
      <c r="A33" s="121"/>
      <c r="B33" s="17"/>
      <c r="C33" s="17"/>
      <c r="D33" s="17"/>
      <c r="E33" s="12" t="s">
        <v>24</v>
      </c>
      <c r="F33" s="24"/>
      <c r="G33" s="23">
        <v>329</v>
      </c>
      <c r="H33" s="47">
        <f t="shared" si="0"/>
        <v>7090</v>
      </c>
    </row>
    <row r="34" spans="1:8" s="15" customFormat="1" x14ac:dyDescent="0.25">
      <c r="A34" s="121"/>
      <c r="B34" s="17"/>
      <c r="C34" s="17"/>
      <c r="D34" s="17"/>
      <c r="E34" s="12" t="s">
        <v>23</v>
      </c>
      <c r="F34" s="24"/>
      <c r="G34" s="23">
        <v>40</v>
      </c>
      <c r="H34" s="47">
        <f t="shared" si="0"/>
        <v>7050</v>
      </c>
    </row>
    <row r="35" spans="1:8" s="15" customFormat="1" x14ac:dyDescent="0.25">
      <c r="A35" s="121"/>
      <c r="B35" s="17"/>
      <c r="C35" s="17"/>
      <c r="D35" s="17"/>
      <c r="E35" s="12" t="s">
        <v>44</v>
      </c>
      <c r="F35" s="24"/>
      <c r="G35" s="23">
        <v>122</v>
      </c>
      <c r="H35" s="47">
        <f t="shared" si="0"/>
        <v>6928</v>
      </c>
    </row>
    <row r="36" spans="1:8" s="15" customFormat="1" x14ac:dyDescent="0.25">
      <c r="A36" s="121"/>
      <c r="B36" s="17"/>
      <c r="C36" s="17"/>
      <c r="D36" s="17"/>
      <c r="E36" s="12" t="s">
        <v>45</v>
      </c>
      <c r="F36" s="24"/>
      <c r="G36" s="23">
        <v>105</v>
      </c>
      <c r="H36" s="47">
        <f t="shared" si="0"/>
        <v>6823</v>
      </c>
    </row>
    <row r="37" spans="1:8" s="15" customFormat="1" x14ac:dyDescent="0.25">
      <c r="A37" s="121"/>
      <c r="B37" s="17"/>
      <c r="C37" s="17"/>
      <c r="D37" s="17"/>
      <c r="E37" s="30" t="s">
        <v>52</v>
      </c>
      <c r="F37" s="31"/>
      <c r="G37" s="32">
        <v>168</v>
      </c>
      <c r="H37" s="47">
        <f t="shared" si="0"/>
        <v>6655</v>
      </c>
    </row>
    <row r="38" spans="1:8" s="15" customFormat="1" x14ac:dyDescent="0.25">
      <c r="A38" s="121"/>
      <c r="B38" s="17"/>
      <c r="C38" s="17"/>
      <c r="D38" s="17"/>
      <c r="E38" s="12" t="s">
        <v>46</v>
      </c>
      <c r="F38" s="24"/>
      <c r="G38" s="23">
        <v>282</v>
      </c>
      <c r="H38" s="47">
        <f t="shared" si="0"/>
        <v>6373</v>
      </c>
    </row>
    <row r="39" spans="1:8" s="15" customFormat="1" x14ac:dyDescent="0.25">
      <c r="A39" s="120">
        <v>46036</v>
      </c>
      <c r="B39" s="17"/>
      <c r="C39" s="17"/>
      <c r="D39" s="17"/>
      <c r="E39" s="12" t="s">
        <v>47</v>
      </c>
      <c r="F39" s="24"/>
      <c r="G39" s="23">
        <v>260</v>
      </c>
      <c r="H39" s="47">
        <f t="shared" si="0"/>
        <v>6113</v>
      </c>
    </row>
    <row r="40" spans="1:8" x14ac:dyDescent="0.2">
      <c r="A40" s="121"/>
      <c r="B40" s="25"/>
      <c r="C40" s="11"/>
      <c r="D40" s="11"/>
      <c r="E40" s="12" t="s">
        <v>40</v>
      </c>
      <c r="F40" s="24"/>
      <c r="G40" s="23">
        <v>300</v>
      </c>
      <c r="H40" s="47">
        <f t="shared" si="0"/>
        <v>5813</v>
      </c>
    </row>
    <row r="41" spans="1:8" x14ac:dyDescent="0.2">
      <c r="A41" s="121"/>
      <c r="B41" s="18"/>
      <c r="C41" s="17"/>
      <c r="D41" s="17"/>
      <c r="E41" s="12" t="s">
        <v>48</v>
      </c>
      <c r="F41" s="24">
        <v>0</v>
      </c>
      <c r="G41" s="23">
        <v>577</v>
      </c>
      <c r="H41" s="47">
        <f t="shared" si="0"/>
        <v>5236</v>
      </c>
    </row>
    <row r="42" spans="1:8" x14ac:dyDescent="0.2">
      <c r="A42" s="121"/>
      <c r="B42" s="25"/>
      <c r="C42" s="11"/>
      <c r="D42" s="11"/>
      <c r="E42" s="11" t="s">
        <v>49</v>
      </c>
      <c r="F42" s="24"/>
      <c r="G42" s="23">
        <v>650</v>
      </c>
      <c r="H42" s="47">
        <f t="shared" si="0"/>
        <v>4586</v>
      </c>
    </row>
    <row r="43" spans="1:8" x14ac:dyDescent="0.2">
      <c r="A43" s="121"/>
      <c r="B43" s="25"/>
      <c r="C43" s="11"/>
      <c r="D43" s="11"/>
      <c r="E43" s="12" t="s">
        <v>50</v>
      </c>
      <c r="F43" s="24"/>
      <c r="G43" s="23">
        <v>71</v>
      </c>
      <c r="H43" s="47">
        <f t="shared" si="0"/>
        <v>4515</v>
      </c>
    </row>
    <row r="44" spans="1:8" x14ac:dyDescent="0.2">
      <c r="A44" s="121"/>
      <c r="B44" s="25"/>
      <c r="C44" s="11"/>
      <c r="D44" s="11"/>
      <c r="E44" s="11" t="s">
        <v>51</v>
      </c>
      <c r="F44" s="24">
        <v>0</v>
      </c>
      <c r="G44" s="23">
        <v>550</v>
      </c>
      <c r="H44" s="47">
        <f t="shared" si="0"/>
        <v>3965</v>
      </c>
    </row>
    <row r="45" spans="1:8" x14ac:dyDescent="0.2">
      <c r="A45" s="121"/>
      <c r="B45" s="18"/>
      <c r="C45" s="18"/>
      <c r="D45" s="18"/>
      <c r="E45" s="12" t="s">
        <v>23</v>
      </c>
      <c r="F45" s="24"/>
      <c r="G45" s="23">
        <v>40</v>
      </c>
      <c r="H45" s="47">
        <f t="shared" si="0"/>
        <v>3925</v>
      </c>
    </row>
    <row r="46" spans="1:8" x14ac:dyDescent="0.2">
      <c r="A46" s="121"/>
      <c r="B46" s="17"/>
      <c r="C46" s="11"/>
      <c r="D46" s="11"/>
      <c r="E46" s="11" t="s">
        <v>53</v>
      </c>
      <c r="F46" s="24">
        <v>0</v>
      </c>
      <c r="G46" s="23">
        <v>107</v>
      </c>
      <c r="H46" s="47">
        <f t="shared" si="0"/>
        <v>3818</v>
      </c>
    </row>
    <row r="47" spans="1:8" x14ac:dyDescent="0.2">
      <c r="A47" s="122"/>
      <c r="B47" s="17"/>
      <c r="C47" s="11"/>
      <c r="D47" s="11"/>
      <c r="E47" s="11" t="s">
        <v>54</v>
      </c>
      <c r="F47" s="24">
        <v>0</v>
      </c>
      <c r="G47" s="33">
        <v>2660</v>
      </c>
      <c r="H47" s="47">
        <f t="shared" si="0"/>
        <v>1158</v>
      </c>
    </row>
    <row r="48" spans="1:8" x14ac:dyDescent="0.2">
      <c r="A48" s="120">
        <v>46037</v>
      </c>
      <c r="B48" s="18"/>
      <c r="C48" s="18"/>
      <c r="D48" s="18"/>
      <c r="E48" s="11" t="s">
        <v>55</v>
      </c>
      <c r="F48" s="24">
        <v>0</v>
      </c>
      <c r="G48" s="23">
        <v>410</v>
      </c>
      <c r="H48" s="47">
        <f t="shared" si="0"/>
        <v>748</v>
      </c>
    </row>
    <row r="49" spans="1:8" x14ac:dyDescent="0.2">
      <c r="A49" s="121"/>
      <c r="B49" s="18"/>
      <c r="C49" s="18"/>
      <c r="D49" s="18"/>
      <c r="E49" s="11" t="s">
        <v>56</v>
      </c>
      <c r="F49" s="24">
        <v>0</v>
      </c>
      <c r="G49" s="23">
        <v>350</v>
      </c>
      <c r="H49" s="47">
        <f t="shared" si="0"/>
        <v>398</v>
      </c>
    </row>
    <row r="50" spans="1:8" x14ac:dyDescent="0.2">
      <c r="A50" s="121"/>
      <c r="B50" s="17"/>
      <c r="C50" s="18"/>
      <c r="D50" s="18"/>
      <c r="E50" s="11" t="s">
        <v>57</v>
      </c>
      <c r="F50" s="24">
        <v>0</v>
      </c>
      <c r="G50" s="23">
        <v>200</v>
      </c>
      <c r="H50" s="47">
        <f t="shared" si="0"/>
        <v>198</v>
      </c>
    </row>
    <row r="51" spans="1:8" x14ac:dyDescent="0.2">
      <c r="A51" s="122"/>
      <c r="B51" s="18"/>
      <c r="C51" s="18"/>
      <c r="D51" s="18"/>
      <c r="E51" s="12" t="s">
        <v>23</v>
      </c>
      <c r="F51" s="24"/>
      <c r="G51" s="23">
        <v>40</v>
      </c>
      <c r="H51" s="47">
        <f t="shared" si="0"/>
        <v>158</v>
      </c>
    </row>
    <row r="52" spans="1:8" x14ac:dyDescent="0.2">
      <c r="A52" s="120">
        <v>46038</v>
      </c>
      <c r="B52" s="18" t="s">
        <v>59</v>
      </c>
      <c r="C52" s="18" t="s">
        <v>25</v>
      </c>
      <c r="D52" s="18" t="s">
        <v>26</v>
      </c>
      <c r="E52" s="11" t="s">
        <v>58</v>
      </c>
      <c r="F52" s="24">
        <v>5000</v>
      </c>
      <c r="G52" s="23">
        <v>85</v>
      </c>
      <c r="H52" s="47">
        <f t="shared" si="0"/>
        <v>5073</v>
      </c>
    </row>
    <row r="53" spans="1:8" x14ac:dyDescent="0.2">
      <c r="A53" s="121"/>
      <c r="B53" s="18"/>
      <c r="C53" s="18"/>
      <c r="D53" s="18"/>
      <c r="E53" s="11" t="s">
        <v>61</v>
      </c>
      <c r="F53" s="24"/>
      <c r="G53" s="23">
        <v>290</v>
      </c>
      <c r="H53" s="47">
        <f t="shared" si="0"/>
        <v>4783</v>
      </c>
    </row>
    <row r="54" spans="1:8" x14ac:dyDescent="0.2">
      <c r="A54" s="122"/>
      <c r="B54" s="18"/>
      <c r="C54" s="18"/>
      <c r="D54" s="18"/>
      <c r="E54" s="11" t="s">
        <v>62</v>
      </c>
      <c r="F54" s="24"/>
      <c r="G54" s="23">
        <v>100</v>
      </c>
      <c r="H54" s="47">
        <f t="shared" si="0"/>
        <v>4683</v>
      </c>
    </row>
    <row r="55" spans="1:8" x14ac:dyDescent="0.2">
      <c r="A55" s="44">
        <v>46039</v>
      </c>
      <c r="B55" s="18"/>
      <c r="C55" s="17"/>
      <c r="D55" s="17"/>
      <c r="E55" s="11" t="s">
        <v>63</v>
      </c>
      <c r="F55" s="24">
        <v>0</v>
      </c>
      <c r="G55" s="23">
        <v>200</v>
      </c>
      <c r="H55" s="47">
        <f t="shared" si="0"/>
        <v>4483</v>
      </c>
    </row>
    <row r="56" spans="1:8" x14ac:dyDescent="0.2">
      <c r="A56" s="120">
        <v>46040</v>
      </c>
      <c r="B56" s="18"/>
      <c r="C56" s="18"/>
      <c r="D56" s="18"/>
      <c r="E56" s="12" t="s">
        <v>65</v>
      </c>
      <c r="F56" s="24"/>
      <c r="G56" s="23">
        <v>447</v>
      </c>
      <c r="H56" s="47">
        <f t="shared" si="0"/>
        <v>4036</v>
      </c>
    </row>
    <row r="57" spans="1:8" x14ac:dyDescent="0.2">
      <c r="A57" s="122"/>
      <c r="B57" s="18"/>
      <c r="C57" s="18"/>
      <c r="D57" s="18"/>
      <c r="E57" s="12" t="s">
        <v>64</v>
      </c>
      <c r="F57" s="24"/>
      <c r="G57" s="23">
        <v>576</v>
      </c>
      <c r="H57" s="47">
        <f t="shared" si="0"/>
        <v>3460</v>
      </c>
    </row>
    <row r="58" spans="1:8" x14ac:dyDescent="0.2">
      <c r="A58" s="44">
        <v>46041</v>
      </c>
      <c r="B58" s="18"/>
      <c r="C58" s="18"/>
      <c r="D58" s="18"/>
      <c r="E58" s="11" t="s">
        <v>66</v>
      </c>
      <c r="F58" s="24"/>
      <c r="G58" s="23">
        <v>380</v>
      </c>
      <c r="H58" s="47">
        <f t="shared" si="0"/>
        <v>3080</v>
      </c>
    </row>
    <row r="59" spans="1:8" x14ac:dyDescent="0.2">
      <c r="A59" s="120">
        <v>46042</v>
      </c>
      <c r="B59" s="18"/>
      <c r="C59" s="18"/>
      <c r="D59" s="18"/>
      <c r="E59" s="11" t="s">
        <v>67</v>
      </c>
      <c r="F59" s="24">
        <v>0</v>
      </c>
      <c r="G59" s="23">
        <v>600</v>
      </c>
      <c r="H59" s="47">
        <f t="shared" si="0"/>
        <v>2480</v>
      </c>
    </row>
    <row r="60" spans="1:8" x14ac:dyDescent="0.2">
      <c r="A60" s="121"/>
      <c r="B60" s="18"/>
      <c r="C60" s="18"/>
      <c r="D60" s="18"/>
      <c r="E60" s="11" t="s">
        <v>68</v>
      </c>
      <c r="F60" s="24">
        <v>0</v>
      </c>
      <c r="G60" s="23">
        <v>600</v>
      </c>
      <c r="H60" s="47">
        <f t="shared" si="0"/>
        <v>1880</v>
      </c>
    </row>
    <row r="61" spans="1:8" x14ac:dyDescent="0.2">
      <c r="A61" s="121"/>
      <c r="B61" s="10"/>
      <c r="C61" s="10"/>
      <c r="D61" s="10"/>
      <c r="E61" s="12" t="s">
        <v>69</v>
      </c>
      <c r="F61" s="24">
        <v>0</v>
      </c>
      <c r="G61" s="23">
        <v>300</v>
      </c>
      <c r="H61" s="47">
        <f t="shared" si="0"/>
        <v>1580</v>
      </c>
    </row>
    <row r="62" spans="1:8" x14ac:dyDescent="0.2">
      <c r="A62" s="121"/>
      <c r="B62" s="10"/>
      <c r="C62" s="10"/>
      <c r="D62" s="10"/>
      <c r="E62" s="11" t="s">
        <v>70</v>
      </c>
      <c r="F62" s="24">
        <v>0</v>
      </c>
      <c r="G62" s="23">
        <v>170</v>
      </c>
      <c r="H62" s="47">
        <f t="shared" si="0"/>
        <v>1410</v>
      </c>
    </row>
    <row r="63" spans="1:8" x14ac:dyDescent="0.2">
      <c r="A63" s="121"/>
      <c r="B63" s="10"/>
      <c r="C63" s="10"/>
      <c r="D63" s="10"/>
      <c r="E63" s="11" t="s">
        <v>71</v>
      </c>
      <c r="F63" s="24"/>
      <c r="G63" s="23">
        <v>141</v>
      </c>
      <c r="H63" s="47">
        <f t="shared" si="0"/>
        <v>1269</v>
      </c>
    </row>
    <row r="64" spans="1:8" x14ac:dyDescent="0.2">
      <c r="A64" s="121"/>
      <c r="B64" s="10" t="s">
        <v>72</v>
      </c>
      <c r="C64" s="10" t="s">
        <v>20</v>
      </c>
      <c r="D64" s="10" t="s">
        <v>73</v>
      </c>
      <c r="E64" s="11" t="s">
        <v>71</v>
      </c>
      <c r="F64" s="24">
        <v>141</v>
      </c>
      <c r="G64" s="23">
        <v>141</v>
      </c>
      <c r="H64" s="47">
        <f t="shared" si="0"/>
        <v>1269</v>
      </c>
    </row>
    <row r="65" spans="1:9" x14ac:dyDescent="0.2">
      <c r="A65" s="121"/>
      <c r="B65" s="10"/>
      <c r="C65" s="10"/>
      <c r="D65" s="10"/>
      <c r="E65" s="11" t="s">
        <v>74</v>
      </c>
      <c r="F65" s="24"/>
      <c r="G65" s="23">
        <v>190</v>
      </c>
      <c r="H65" s="47">
        <f t="shared" si="0"/>
        <v>1079</v>
      </c>
    </row>
    <row r="66" spans="1:9" x14ac:dyDescent="0.2">
      <c r="A66" s="122"/>
      <c r="B66" s="18"/>
      <c r="C66" s="18"/>
      <c r="D66" s="18"/>
      <c r="E66" s="11" t="s">
        <v>75</v>
      </c>
      <c r="F66" s="24">
        <v>0</v>
      </c>
      <c r="G66" s="23">
        <v>800</v>
      </c>
      <c r="H66" s="47">
        <f t="shared" si="0"/>
        <v>279</v>
      </c>
    </row>
    <row r="67" spans="1:9" x14ac:dyDescent="0.2">
      <c r="A67" s="120">
        <v>46043</v>
      </c>
      <c r="B67" s="18" t="s">
        <v>60</v>
      </c>
      <c r="C67" s="18" t="s">
        <v>25</v>
      </c>
      <c r="D67" s="18" t="s">
        <v>27</v>
      </c>
      <c r="E67" s="11" t="s">
        <v>76</v>
      </c>
      <c r="F67" s="24">
        <v>10000</v>
      </c>
      <c r="G67" s="23">
        <v>148</v>
      </c>
      <c r="H67" s="47">
        <f t="shared" si="0"/>
        <v>10131</v>
      </c>
    </row>
    <row r="68" spans="1:9" x14ac:dyDescent="0.2">
      <c r="A68" s="121"/>
      <c r="B68" s="18"/>
      <c r="C68" s="18"/>
      <c r="D68" s="18"/>
      <c r="E68" s="11" t="s">
        <v>77</v>
      </c>
      <c r="F68" s="24">
        <v>0</v>
      </c>
      <c r="G68" s="23">
        <v>350</v>
      </c>
      <c r="H68" s="47">
        <f t="shared" si="0"/>
        <v>9781</v>
      </c>
    </row>
    <row r="69" spans="1:9" x14ac:dyDescent="0.2">
      <c r="A69" s="121"/>
      <c r="B69" s="18"/>
      <c r="C69" s="18"/>
      <c r="D69" s="18"/>
      <c r="E69" s="11" t="s">
        <v>78</v>
      </c>
      <c r="F69" s="24"/>
      <c r="G69" s="23">
        <v>600</v>
      </c>
      <c r="H69" s="47">
        <f t="shared" si="0"/>
        <v>9181</v>
      </c>
    </row>
    <row r="70" spans="1:9" x14ac:dyDescent="0.2">
      <c r="A70" s="121"/>
      <c r="B70" s="18"/>
      <c r="C70" s="18"/>
      <c r="D70" s="18"/>
      <c r="E70" s="11" t="s">
        <v>78</v>
      </c>
      <c r="F70" s="24"/>
      <c r="G70" s="23">
        <v>190</v>
      </c>
      <c r="H70" s="47">
        <f t="shared" si="0"/>
        <v>8991</v>
      </c>
    </row>
    <row r="71" spans="1:9" x14ac:dyDescent="0.2">
      <c r="A71" s="122"/>
      <c r="B71" s="18"/>
      <c r="C71" s="18"/>
      <c r="D71" s="18"/>
      <c r="E71" s="11" t="s">
        <v>78</v>
      </c>
      <c r="F71" s="24"/>
      <c r="G71" s="23">
        <v>650</v>
      </c>
      <c r="H71" s="47">
        <f t="shared" si="0"/>
        <v>8341</v>
      </c>
    </row>
    <row r="72" spans="1:9" x14ac:dyDescent="0.2">
      <c r="A72" s="120">
        <v>46044</v>
      </c>
      <c r="B72" s="18"/>
      <c r="C72" s="18"/>
      <c r="D72" s="18"/>
      <c r="E72" s="11" t="s">
        <v>79</v>
      </c>
      <c r="F72" s="24"/>
      <c r="G72" s="23">
        <v>400</v>
      </c>
      <c r="H72" s="47">
        <f t="shared" si="0"/>
        <v>7941</v>
      </c>
    </row>
    <row r="73" spans="1:9" x14ac:dyDescent="0.2">
      <c r="A73" s="121"/>
      <c r="B73" s="18"/>
      <c r="C73" s="18"/>
      <c r="D73" s="18"/>
      <c r="E73" s="11" t="s">
        <v>80</v>
      </c>
      <c r="F73" s="24"/>
      <c r="G73" s="23">
        <v>40</v>
      </c>
      <c r="H73" s="47">
        <f t="shared" si="0"/>
        <v>7901</v>
      </c>
    </row>
    <row r="74" spans="1:9" x14ac:dyDescent="0.2">
      <c r="A74" s="121"/>
      <c r="B74" s="18"/>
      <c r="C74" s="18"/>
      <c r="D74" s="18"/>
      <c r="E74" s="11" t="s">
        <v>81</v>
      </c>
      <c r="F74" s="24"/>
      <c r="G74" s="23">
        <v>62</v>
      </c>
      <c r="H74" s="47">
        <f t="shared" si="0"/>
        <v>7839</v>
      </c>
    </row>
    <row r="75" spans="1:9" x14ac:dyDescent="0.2">
      <c r="A75" s="121"/>
      <c r="B75" s="18"/>
      <c r="C75" s="18"/>
      <c r="D75" s="18"/>
      <c r="E75" s="11" t="s">
        <v>82</v>
      </c>
      <c r="F75" s="24"/>
      <c r="G75" s="23">
        <v>2500</v>
      </c>
      <c r="H75" s="47">
        <f t="shared" si="0"/>
        <v>5339</v>
      </c>
    </row>
    <row r="76" spans="1:9" x14ac:dyDescent="0.2">
      <c r="A76" s="122"/>
      <c r="B76" s="18"/>
      <c r="C76" s="18"/>
      <c r="D76" s="18"/>
      <c r="E76" s="34" t="s">
        <v>83</v>
      </c>
      <c r="F76" s="24"/>
      <c r="G76" s="23">
        <v>500</v>
      </c>
      <c r="H76" s="47">
        <f t="shared" si="0"/>
        <v>4839</v>
      </c>
    </row>
    <row r="77" spans="1:9" ht="15.75" x14ac:dyDescent="0.2">
      <c r="A77" s="120">
        <v>46045</v>
      </c>
      <c r="B77" s="18"/>
      <c r="C77" s="18"/>
      <c r="D77" s="18"/>
      <c r="E77" s="11" t="s">
        <v>84</v>
      </c>
      <c r="F77" s="26"/>
      <c r="G77" s="23">
        <v>2400</v>
      </c>
      <c r="H77" s="47">
        <f t="shared" si="0"/>
        <v>2439</v>
      </c>
      <c r="I77" s="119" t="s">
        <v>9</v>
      </c>
    </row>
    <row r="78" spans="1:9" ht="15.75" x14ac:dyDescent="0.2">
      <c r="A78" s="121"/>
      <c r="B78" s="18"/>
      <c r="C78" s="18"/>
      <c r="D78" s="18"/>
      <c r="E78" s="11" t="s">
        <v>86</v>
      </c>
      <c r="F78" s="26">
        <v>0</v>
      </c>
      <c r="G78" s="23">
        <v>125</v>
      </c>
      <c r="H78" s="47">
        <f t="shared" si="0"/>
        <v>2314</v>
      </c>
      <c r="I78" s="119"/>
    </row>
    <row r="79" spans="1:9" x14ac:dyDescent="0.2">
      <c r="A79" s="121"/>
      <c r="B79" s="18"/>
      <c r="C79" s="18"/>
      <c r="D79" s="18"/>
      <c r="E79" s="11" t="s">
        <v>87</v>
      </c>
      <c r="F79" s="24">
        <v>0</v>
      </c>
      <c r="G79" s="23">
        <v>510</v>
      </c>
      <c r="H79" s="47">
        <f t="shared" si="0"/>
        <v>1804</v>
      </c>
    </row>
    <row r="80" spans="1:9" x14ac:dyDescent="0.2">
      <c r="A80" s="122"/>
      <c r="B80" s="18"/>
      <c r="C80" s="18"/>
      <c r="D80" s="18"/>
      <c r="E80" s="11" t="s">
        <v>88</v>
      </c>
      <c r="F80" s="24"/>
      <c r="G80" s="23">
        <v>400</v>
      </c>
      <c r="H80" s="47">
        <f t="shared" si="0"/>
        <v>1404</v>
      </c>
    </row>
    <row r="81" spans="1:8" x14ac:dyDescent="0.2">
      <c r="A81" s="120">
        <v>46046</v>
      </c>
      <c r="B81" s="18" t="s">
        <v>60</v>
      </c>
      <c r="C81" s="18" t="s">
        <v>25</v>
      </c>
      <c r="D81" s="18" t="s">
        <v>27</v>
      </c>
      <c r="E81" s="11" t="s">
        <v>85</v>
      </c>
      <c r="F81" s="24">
        <v>5000</v>
      </c>
      <c r="G81" s="23">
        <v>350</v>
      </c>
      <c r="H81" s="47">
        <f t="shared" si="0"/>
        <v>6054</v>
      </c>
    </row>
    <row r="82" spans="1:8" x14ac:dyDescent="0.2">
      <c r="A82" s="121"/>
      <c r="B82" s="18"/>
      <c r="C82" s="18"/>
      <c r="D82" s="18"/>
      <c r="E82" s="11" t="s">
        <v>89</v>
      </c>
      <c r="F82" s="24"/>
      <c r="G82" s="23">
        <v>510</v>
      </c>
      <c r="H82" s="47">
        <f t="shared" si="0"/>
        <v>5544</v>
      </c>
    </row>
    <row r="83" spans="1:8" x14ac:dyDescent="0.2">
      <c r="A83" s="121"/>
      <c r="B83" s="18"/>
      <c r="C83" s="18"/>
      <c r="D83" s="18"/>
      <c r="E83" s="11" t="s">
        <v>93</v>
      </c>
      <c r="F83" s="24"/>
      <c r="G83" s="23">
        <v>105</v>
      </c>
      <c r="H83" s="47">
        <f t="shared" si="0"/>
        <v>5439</v>
      </c>
    </row>
    <row r="84" spans="1:8" x14ac:dyDescent="0.2">
      <c r="A84" s="122"/>
      <c r="B84" s="18"/>
      <c r="C84" s="18"/>
      <c r="D84" s="18"/>
      <c r="E84" s="11" t="s">
        <v>90</v>
      </c>
      <c r="F84" s="24"/>
      <c r="G84" s="23">
        <v>80</v>
      </c>
      <c r="H84" s="47">
        <f t="shared" si="0"/>
        <v>5359</v>
      </c>
    </row>
    <row r="85" spans="1:8" x14ac:dyDescent="0.2">
      <c r="A85" s="120">
        <v>46049</v>
      </c>
      <c r="B85" s="18"/>
      <c r="C85" s="18"/>
      <c r="D85" s="18"/>
      <c r="E85" s="11" t="s">
        <v>91</v>
      </c>
      <c r="F85" s="24"/>
      <c r="G85" s="23">
        <v>266</v>
      </c>
      <c r="H85" s="47">
        <f t="shared" si="0"/>
        <v>5093</v>
      </c>
    </row>
    <row r="86" spans="1:8" x14ac:dyDescent="0.2">
      <c r="A86" s="121"/>
      <c r="B86" s="18"/>
      <c r="C86" s="18"/>
      <c r="D86" s="18"/>
      <c r="E86" s="11" t="s">
        <v>92</v>
      </c>
      <c r="F86" s="24"/>
      <c r="G86" s="23">
        <v>263</v>
      </c>
      <c r="H86" s="47">
        <f t="shared" si="0"/>
        <v>4830</v>
      </c>
    </row>
    <row r="87" spans="1:8" x14ac:dyDescent="0.2">
      <c r="A87" s="122"/>
      <c r="B87" s="18"/>
      <c r="C87" s="18"/>
      <c r="D87" s="18"/>
      <c r="E87" s="11" t="s">
        <v>71</v>
      </c>
      <c r="F87" s="24"/>
      <c r="G87" s="23">
        <v>142</v>
      </c>
      <c r="H87" s="47">
        <f t="shared" ref="H87:H93" si="1">H86+F87-G87</f>
        <v>4688</v>
      </c>
    </row>
    <row r="88" spans="1:8" x14ac:dyDescent="0.2">
      <c r="A88" s="120">
        <v>46050</v>
      </c>
      <c r="B88" s="18" t="s">
        <v>98</v>
      </c>
      <c r="C88" s="18" t="s">
        <v>97</v>
      </c>
      <c r="D88" s="18" t="s">
        <v>73</v>
      </c>
      <c r="E88" s="11" t="s">
        <v>94</v>
      </c>
      <c r="F88" s="24">
        <v>105</v>
      </c>
      <c r="G88" s="23">
        <v>510</v>
      </c>
      <c r="H88" s="47">
        <f t="shared" si="1"/>
        <v>4283</v>
      </c>
    </row>
    <row r="89" spans="1:8" x14ac:dyDescent="0.2">
      <c r="A89" s="121"/>
      <c r="B89" s="18"/>
      <c r="C89" s="18"/>
      <c r="D89" s="18"/>
      <c r="E89" s="11" t="s">
        <v>95</v>
      </c>
      <c r="F89" s="24"/>
      <c r="G89" s="23">
        <v>550</v>
      </c>
      <c r="H89" s="47">
        <f t="shared" si="1"/>
        <v>3733</v>
      </c>
    </row>
    <row r="90" spans="1:8" x14ac:dyDescent="0.2">
      <c r="A90" s="121"/>
      <c r="B90" s="18"/>
      <c r="C90" s="18"/>
      <c r="D90" s="18"/>
      <c r="E90" s="11" t="s">
        <v>96</v>
      </c>
      <c r="F90" s="24"/>
      <c r="G90" s="23">
        <v>280</v>
      </c>
      <c r="H90" s="47">
        <f t="shared" si="1"/>
        <v>3453</v>
      </c>
    </row>
    <row r="91" spans="1:8" x14ac:dyDescent="0.2">
      <c r="A91" s="121"/>
      <c r="B91" s="18"/>
      <c r="C91" s="18"/>
      <c r="D91" s="18"/>
      <c r="E91" s="11" t="s">
        <v>100</v>
      </c>
      <c r="F91" s="24">
        <v>0</v>
      </c>
      <c r="G91" s="23">
        <v>1150</v>
      </c>
      <c r="H91" s="47">
        <f t="shared" si="1"/>
        <v>2303</v>
      </c>
    </row>
    <row r="92" spans="1:8" x14ac:dyDescent="0.2">
      <c r="A92" s="122"/>
      <c r="B92" s="18"/>
      <c r="C92" s="18"/>
      <c r="D92" s="18"/>
      <c r="E92" s="11" t="s">
        <v>99</v>
      </c>
      <c r="F92" s="24"/>
      <c r="G92" s="23">
        <v>93</v>
      </c>
      <c r="H92" s="47">
        <f t="shared" si="1"/>
        <v>2210</v>
      </c>
    </row>
    <row r="93" spans="1:8" x14ac:dyDescent="0.2">
      <c r="A93" s="120">
        <v>46051</v>
      </c>
      <c r="B93" s="18"/>
      <c r="C93" s="18"/>
      <c r="D93" s="18"/>
      <c r="E93" s="11" t="s">
        <v>101</v>
      </c>
      <c r="F93" s="24"/>
      <c r="G93" s="23">
        <v>1235</v>
      </c>
      <c r="H93" s="47">
        <f t="shared" si="1"/>
        <v>975</v>
      </c>
    </row>
    <row r="94" spans="1:8" x14ac:dyDescent="0.2">
      <c r="A94" s="121"/>
      <c r="B94" s="18"/>
      <c r="C94" s="18"/>
      <c r="D94" s="18"/>
      <c r="E94" s="11" t="s">
        <v>102</v>
      </c>
      <c r="F94" s="24"/>
      <c r="G94" s="23">
        <v>150</v>
      </c>
      <c r="H94" s="47">
        <f t="shared" ref="H94:H111" si="2">H93+F94-G94</f>
        <v>825</v>
      </c>
    </row>
    <row r="95" spans="1:8" x14ac:dyDescent="0.2">
      <c r="A95" s="122"/>
      <c r="B95" s="18"/>
      <c r="C95" s="18"/>
      <c r="D95" s="18"/>
      <c r="E95" s="11" t="s">
        <v>103</v>
      </c>
      <c r="F95" s="24"/>
      <c r="G95" s="23">
        <v>200</v>
      </c>
      <c r="H95" s="47">
        <f t="shared" si="2"/>
        <v>625</v>
      </c>
    </row>
    <row r="96" spans="1:8" x14ac:dyDescent="0.2">
      <c r="A96" s="46">
        <v>46052</v>
      </c>
      <c r="B96" s="18" t="s">
        <v>60</v>
      </c>
      <c r="C96" s="18" t="s">
        <v>25</v>
      </c>
      <c r="D96" s="18" t="s">
        <v>105</v>
      </c>
      <c r="E96" s="11" t="s">
        <v>104</v>
      </c>
      <c r="F96" s="24">
        <v>15000</v>
      </c>
      <c r="G96" s="23">
        <v>15000</v>
      </c>
      <c r="H96" s="47">
        <f t="shared" si="2"/>
        <v>625</v>
      </c>
    </row>
    <row r="97" spans="1:8" x14ac:dyDescent="0.2">
      <c r="A97" s="48"/>
      <c r="B97" s="18"/>
      <c r="C97" s="18"/>
      <c r="D97" s="18"/>
      <c r="E97" s="11" t="s">
        <v>71</v>
      </c>
      <c r="F97" s="24"/>
      <c r="G97" s="23">
        <v>100</v>
      </c>
      <c r="H97" s="47">
        <f t="shared" si="2"/>
        <v>525</v>
      </c>
    </row>
    <row r="98" spans="1:8" x14ac:dyDescent="0.2">
      <c r="A98" s="46">
        <v>46053</v>
      </c>
      <c r="B98" s="18"/>
      <c r="C98" s="18"/>
      <c r="D98" s="18"/>
      <c r="E98" s="11" t="s">
        <v>106</v>
      </c>
      <c r="F98" s="24"/>
      <c r="G98" s="23">
        <v>380</v>
      </c>
      <c r="H98" s="47">
        <f t="shared" si="2"/>
        <v>145</v>
      </c>
    </row>
    <row r="99" spans="1:8" x14ac:dyDescent="0.2">
      <c r="A99" s="48"/>
      <c r="B99" s="18"/>
      <c r="C99" s="18"/>
      <c r="D99" s="18"/>
      <c r="E99" s="11"/>
      <c r="F99" s="24"/>
      <c r="G99" s="23"/>
      <c r="H99" s="47">
        <f t="shared" si="2"/>
        <v>145</v>
      </c>
    </row>
    <row r="100" spans="1:8" x14ac:dyDescent="0.2">
      <c r="A100" s="49"/>
      <c r="B100" s="18"/>
      <c r="C100" s="18"/>
      <c r="D100" s="18"/>
      <c r="E100" s="11"/>
      <c r="F100" s="24"/>
      <c r="G100" s="23"/>
      <c r="H100" s="47">
        <f t="shared" si="2"/>
        <v>145</v>
      </c>
    </row>
    <row r="101" spans="1:8" x14ac:dyDescent="0.2">
      <c r="A101" s="49"/>
      <c r="B101" s="18"/>
      <c r="C101" s="18"/>
      <c r="D101" s="18"/>
      <c r="E101" s="11"/>
      <c r="F101" s="24"/>
      <c r="G101" s="23"/>
      <c r="H101" s="47">
        <f t="shared" si="2"/>
        <v>145</v>
      </c>
    </row>
    <row r="102" spans="1:8" x14ac:dyDescent="0.2">
      <c r="A102" s="49"/>
      <c r="B102" s="18"/>
      <c r="C102" s="18"/>
      <c r="D102" s="18"/>
      <c r="E102" s="11"/>
      <c r="F102" s="24"/>
      <c r="G102" s="23"/>
      <c r="H102" s="47">
        <f t="shared" si="2"/>
        <v>145</v>
      </c>
    </row>
    <row r="103" spans="1:8" x14ac:dyDescent="0.2">
      <c r="A103" s="49"/>
      <c r="B103" s="18"/>
      <c r="C103" s="18"/>
      <c r="D103" s="18"/>
      <c r="E103" s="11"/>
      <c r="F103" s="24"/>
      <c r="G103" s="23"/>
      <c r="H103" s="47">
        <f t="shared" si="2"/>
        <v>145</v>
      </c>
    </row>
    <row r="104" spans="1:8" x14ac:dyDescent="0.2">
      <c r="A104" s="49"/>
      <c r="B104" s="18"/>
      <c r="C104" s="18"/>
      <c r="D104" s="18"/>
      <c r="E104" s="11"/>
      <c r="F104" s="24"/>
      <c r="G104" s="23"/>
      <c r="H104" s="47">
        <f t="shared" si="2"/>
        <v>145</v>
      </c>
    </row>
    <row r="105" spans="1:8" x14ac:dyDescent="0.2">
      <c r="A105" s="49"/>
      <c r="B105" s="18"/>
      <c r="C105" s="18"/>
      <c r="D105" s="18"/>
      <c r="E105" s="11"/>
      <c r="F105" s="24"/>
      <c r="G105" s="23"/>
      <c r="H105" s="47">
        <f t="shared" si="2"/>
        <v>145</v>
      </c>
    </row>
    <row r="106" spans="1:8" x14ac:dyDescent="0.2">
      <c r="A106" s="49"/>
      <c r="B106" s="18"/>
      <c r="C106" s="18"/>
      <c r="D106" s="18"/>
      <c r="E106" s="11"/>
      <c r="F106" s="24"/>
      <c r="G106" s="23"/>
      <c r="H106" s="47">
        <f t="shared" si="2"/>
        <v>145</v>
      </c>
    </row>
    <row r="107" spans="1:8" x14ac:dyDescent="0.2">
      <c r="A107" s="49"/>
      <c r="B107" s="18"/>
      <c r="C107" s="18"/>
      <c r="D107" s="18"/>
      <c r="E107" s="11"/>
      <c r="F107" s="24"/>
      <c r="G107" s="23"/>
      <c r="H107" s="47">
        <f t="shared" si="2"/>
        <v>145</v>
      </c>
    </row>
    <row r="108" spans="1:8" x14ac:dyDescent="0.2">
      <c r="A108" s="49"/>
      <c r="B108" s="18"/>
      <c r="C108" s="18"/>
      <c r="D108" s="18"/>
      <c r="E108" s="11"/>
      <c r="F108" s="24"/>
      <c r="G108" s="23"/>
      <c r="H108" s="47">
        <f t="shared" si="2"/>
        <v>145</v>
      </c>
    </row>
    <row r="109" spans="1:8" x14ac:dyDescent="0.2">
      <c r="A109" s="49"/>
      <c r="B109" s="18"/>
      <c r="C109" s="18"/>
      <c r="D109" s="18"/>
      <c r="E109" s="11"/>
      <c r="F109" s="24"/>
      <c r="G109" s="23"/>
      <c r="H109" s="47">
        <f t="shared" si="2"/>
        <v>145</v>
      </c>
    </row>
    <row r="110" spans="1:8" x14ac:dyDescent="0.2">
      <c r="A110" s="49"/>
      <c r="B110" s="18"/>
      <c r="C110" s="18"/>
      <c r="D110" s="18"/>
      <c r="E110" s="11"/>
      <c r="F110" s="24"/>
      <c r="G110" s="23"/>
      <c r="H110" s="47">
        <f t="shared" si="2"/>
        <v>145</v>
      </c>
    </row>
    <row r="111" spans="1:8" ht="13.5" thickBot="1" x14ac:dyDescent="0.25">
      <c r="A111" s="50"/>
      <c r="B111" s="51"/>
      <c r="C111" s="51"/>
      <c r="D111" s="51"/>
      <c r="E111" s="52"/>
      <c r="F111" s="53"/>
      <c r="G111" s="54"/>
      <c r="H111" s="55">
        <f t="shared" si="2"/>
        <v>145</v>
      </c>
    </row>
  </sheetData>
  <mergeCells count="21">
    <mergeCell ref="A72:A76"/>
    <mergeCell ref="A77:A80"/>
    <mergeCell ref="A81:A84"/>
    <mergeCell ref="A85:A87"/>
    <mergeCell ref="A93:A95"/>
    <mergeCell ref="I77:I78"/>
    <mergeCell ref="A88:A92"/>
    <mergeCell ref="A6:A7"/>
    <mergeCell ref="A11:A12"/>
    <mergeCell ref="A8:A9"/>
    <mergeCell ref="A13:A15"/>
    <mergeCell ref="A16:A22"/>
    <mergeCell ref="A23:A25"/>
    <mergeCell ref="A26:A27"/>
    <mergeCell ref="A29:A38"/>
    <mergeCell ref="A39:A47"/>
    <mergeCell ref="A48:A51"/>
    <mergeCell ref="A52:A54"/>
    <mergeCell ref="A56:A57"/>
    <mergeCell ref="A59:A66"/>
    <mergeCell ref="A67:A71"/>
  </mergeCells>
  <pageMargins left="0.25" right="0.25" top="0.75" bottom="0.75" header="0.3" footer="0.3"/>
  <pageSetup scale="68" fitToHeight="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3DA4-C819-4A1F-AE78-5795E1336BC8}">
  <sheetPr codeName="Sheet1">
    <tabColor rgb="FFFFFF00"/>
    <pageSetUpPr fitToPage="1"/>
  </sheetPr>
  <dimension ref="A1:I111"/>
  <sheetViews>
    <sheetView view="pageBreakPreview" zoomScaleNormal="100" zoomScaleSheetLayoutView="100" workbookViewId="0">
      <selection activeCell="E50" sqref="E50"/>
    </sheetView>
  </sheetViews>
  <sheetFormatPr defaultColWidth="8.85546875" defaultRowHeight="12.75" x14ac:dyDescent="0.2"/>
  <cols>
    <col min="1" max="1" width="9.28515625" style="19" bestFit="1" customWidth="1"/>
    <col min="2" max="2" width="14.7109375" style="16" customWidth="1"/>
    <col min="3" max="3" width="16" style="81" bestFit="1" customWidth="1"/>
    <col min="4" max="4" width="19.140625" style="1" customWidth="1"/>
    <col min="5" max="5" width="114.28515625" style="1" customWidth="1"/>
    <col min="6" max="6" width="10.5703125" style="1" bestFit="1" customWidth="1"/>
    <col min="7" max="7" width="10.140625" style="1" bestFit="1" customWidth="1"/>
    <col min="8" max="8" width="11.42578125" style="1" bestFit="1" customWidth="1"/>
    <col min="9" max="9" width="34.42578125" style="1" bestFit="1" customWidth="1"/>
    <col min="10" max="16384" width="8.85546875" style="1"/>
  </cols>
  <sheetData>
    <row r="1" spans="1:8" ht="30" customHeight="1" x14ac:dyDescent="0.2">
      <c r="A1" s="125" t="s">
        <v>177</v>
      </c>
      <c r="B1" s="126"/>
      <c r="C1" s="126"/>
      <c r="D1" s="126"/>
      <c r="E1" s="126"/>
      <c r="F1" s="126"/>
      <c r="G1" s="126"/>
      <c r="H1" s="127"/>
    </row>
    <row r="2" spans="1:8" x14ac:dyDescent="0.2">
      <c r="A2" s="69"/>
      <c r="B2" s="25"/>
      <c r="C2" s="77"/>
      <c r="D2" s="11"/>
      <c r="E2" s="11"/>
      <c r="F2" s="62" t="s">
        <v>0</v>
      </c>
      <c r="G2" s="62" t="s">
        <v>1</v>
      </c>
      <c r="H2" s="70" t="s">
        <v>2</v>
      </c>
    </row>
    <row r="3" spans="1:8" s="22" customFormat="1" x14ac:dyDescent="0.2">
      <c r="A3" s="71" t="s">
        <v>8</v>
      </c>
      <c r="B3" s="63" t="s">
        <v>3</v>
      </c>
      <c r="C3" s="63" t="s">
        <v>4</v>
      </c>
      <c r="D3" s="63" t="s">
        <v>5</v>
      </c>
      <c r="E3" s="63" t="s">
        <v>6</v>
      </c>
      <c r="F3" s="64">
        <f>SUM(F4:F267)</f>
        <v>37165</v>
      </c>
      <c r="G3" s="65">
        <f>SUM(G4:G267)</f>
        <v>35737.06</v>
      </c>
      <c r="H3" s="72">
        <f>+F3-G3</f>
        <v>1427.9400000000023</v>
      </c>
    </row>
    <row r="4" spans="1:8" x14ac:dyDescent="0.2">
      <c r="A4" s="49"/>
      <c r="B4" s="10"/>
      <c r="C4" s="78"/>
      <c r="D4" s="10"/>
      <c r="E4" s="11"/>
      <c r="F4" s="66"/>
      <c r="G4" s="67"/>
      <c r="H4" s="73"/>
    </row>
    <row r="5" spans="1:8" s="15" customFormat="1" ht="38.25" x14ac:dyDescent="0.25">
      <c r="A5" s="44">
        <v>46054</v>
      </c>
      <c r="B5" s="17" t="s">
        <v>121</v>
      </c>
      <c r="C5" s="76" t="s">
        <v>25</v>
      </c>
      <c r="D5" s="17" t="s">
        <v>120</v>
      </c>
      <c r="E5" s="12" t="s">
        <v>108</v>
      </c>
      <c r="F5" s="13">
        <v>145</v>
      </c>
      <c r="G5" s="14">
        <v>0</v>
      </c>
      <c r="H5" s="45">
        <f t="shared" ref="H5:H68" si="0">H4+F5-G5</f>
        <v>145</v>
      </c>
    </row>
    <row r="6" spans="1:8" s="15" customFormat="1" x14ac:dyDescent="0.25">
      <c r="A6" s="123">
        <v>46055</v>
      </c>
      <c r="B6" s="17"/>
      <c r="C6" s="76"/>
      <c r="D6" s="17"/>
      <c r="E6" s="12" t="s">
        <v>109</v>
      </c>
      <c r="F6" s="13">
        <v>6000</v>
      </c>
      <c r="G6" s="23">
        <v>116</v>
      </c>
      <c r="H6" s="47">
        <f t="shared" si="0"/>
        <v>6029</v>
      </c>
    </row>
    <row r="7" spans="1:8" s="15" customFormat="1" x14ac:dyDescent="0.25">
      <c r="A7" s="123"/>
      <c r="B7" s="17"/>
      <c r="C7" s="76"/>
      <c r="D7" s="17"/>
      <c r="E7" s="12" t="s">
        <v>118</v>
      </c>
      <c r="F7" s="24"/>
      <c r="G7" s="23">
        <v>400</v>
      </c>
      <c r="H7" s="47">
        <f t="shared" si="0"/>
        <v>5629</v>
      </c>
    </row>
    <row r="8" spans="1:8" s="15" customFormat="1" x14ac:dyDescent="0.25">
      <c r="A8" s="123"/>
      <c r="B8" s="17"/>
      <c r="C8" s="76"/>
      <c r="D8" s="17"/>
      <c r="E8" s="12" t="s">
        <v>119</v>
      </c>
      <c r="F8" s="24"/>
      <c r="G8" s="23">
        <v>450</v>
      </c>
      <c r="H8" s="47">
        <f t="shared" si="0"/>
        <v>5179</v>
      </c>
    </row>
    <row r="9" spans="1:8" s="15" customFormat="1" x14ac:dyDescent="0.25">
      <c r="A9" s="123"/>
      <c r="B9" s="17"/>
      <c r="C9" s="76"/>
      <c r="D9" s="17"/>
      <c r="E9" s="12" t="s">
        <v>117</v>
      </c>
      <c r="F9" s="24"/>
      <c r="G9" s="23">
        <v>280</v>
      </c>
      <c r="H9" s="47">
        <f t="shared" si="0"/>
        <v>4899</v>
      </c>
    </row>
    <row r="10" spans="1:8" s="15" customFormat="1" x14ac:dyDescent="0.2">
      <c r="A10" s="123">
        <v>46056</v>
      </c>
      <c r="B10" s="18"/>
      <c r="C10" s="76"/>
      <c r="D10" s="17"/>
      <c r="E10" s="12" t="s">
        <v>110</v>
      </c>
      <c r="F10" s="24"/>
      <c r="G10" s="23">
        <v>398</v>
      </c>
      <c r="H10" s="47">
        <f t="shared" si="0"/>
        <v>4501</v>
      </c>
    </row>
    <row r="11" spans="1:8" s="15" customFormat="1" x14ac:dyDescent="0.25">
      <c r="A11" s="123"/>
      <c r="B11" s="17"/>
      <c r="C11" s="76"/>
      <c r="D11" s="17"/>
      <c r="E11" s="12" t="s">
        <v>111</v>
      </c>
      <c r="F11" s="24"/>
      <c r="G11" s="23">
        <v>928</v>
      </c>
      <c r="H11" s="47">
        <f t="shared" si="0"/>
        <v>3573</v>
      </c>
    </row>
    <row r="12" spans="1:8" s="15" customFormat="1" x14ac:dyDescent="0.25">
      <c r="A12" s="123"/>
      <c r="B12" s="17"/>
      <c r="C12" s="76"/>
      <c r="D12" s="17"/>
      <c r="E12" s="12" t="s">
        <v>116</v>
      </c>
      <c r="F12" s="24"/>
      <c r="G12" s="23">
        <v>200</v>
      </c>
      <c r="H12" s="47">
        <f t="shared" si="0"/>
        <v>3373</v>
      </c>
    </row>
    <row r="13" spans="1:8" s="15" customFormat="1" x14ac:dyDescent="0.2">
      <c r="A13" s="123"/>
      <c r="B13" s="18"/>
      <c r="C13" s="76"/>
      <c r="D13" s="17"/>
      <c r="E13" s="12" t="s">
        <v>116</v>
      </c>
      <c r="F13" s="24"/>
      <c r="G13" s="23">
        <v>20</v>
      </c>
      <c r="H13" s="47">
        <f t="shared" si="0"/>
        <v>3353</v>
      </c>
    </row>
    <row r="14" spans="1:8" s="15" customFormat="1" x14ac:dyDescent="0.25">
      <c r="A14" s="123"/>
      <c r="B14" s="17"/>
      <c r="C14" s="76"/>
      <c r="D14" s="17"/>
      <c r="E14" s="12" t="s">
        <v>109</v>
      </c>
      <c r="F14" s="24"/>
      <c r="G14" s="23">
        <v>116</v>
      </c>
      <c r="H14" s="47">
        <f t="shared" si="0"/>
        <v>3237</v>
      </c>
    </row>
    <row r="15" spans="1:8" s="15" customFormat="1" x14ac:dyDescent="0.25">
      <c r="A15" s="123">
        <v>46057</v>
      </c>
      <c r="B15" s="17"/>
      <c r="C15" s="76"/>
      <c r="D15" s="17"/>
      <c r="E15" s="12" t="s">
        <v>112</v>
      </c>
      <c r="F15" s="24"/>
      <c r="G15" s="23">
        <v>170</v>
      </c>
      <c r="H15" s="47">
        <f t="shared" si="0"/>
        <v>3067</v>
      </c>
    </row>
    <row r="16" spans="1:8" s="15" customFormat="1" x14ac:dyDescent="0.25">
      <c r="A16" s="123"/>
      <c r="B16" s="17"/>
      <c r="C16" s="76"/>
      <c r="D16" s="17"/>
      <c r="E16" s="12" t="s">
        <v>113</v>
      </c>
      <c r="F16" s="24"/>
      <c r="G16" s="23">
        <v>150</v>
      </c>
      <c r="H16" s="47">
        <f t="shared" si="0"/>
        <v>2917</v>
      </c>
    </row>
    <row r="17" spans="1:8" s="15" customFormat="1" x14ac:dyDescent="0.25">
      <c r="A17" s="123">
        <v>46058</v>
      </c>
      <c r="B17" s="17"/>
      <c r="C17" s="76"/>
      <c r="D17" s="17"/>
      <c r="E17" s="12" t="s">
        <v>114</v>
      </c>
      <c r="F17" s="24"/>
      <c r="G17" s="23">
        <v>2400</v>
      </c>
      <c r="H17" s="47">
        <f t="shared" si="0"/>
        <v>517</v>
      </c>
    </row>
    <row r="18" spans="1:8" s="15" customFormat="1" x14ac:dyDescent="0.25">
      <c r="A18" s="123"/>
      <c r="B18" s="17"/>
      <c r="C18" s="76"/>
      <c r="D18" s="17"/>
      <c r="E18" s="12" t="s">
        <v>115</v>
      </c>
      <c r="F18" s="24"/>
      <c r="G18" s="23">
        <v>180</v>
      </c>
      <c r="H18" s="47">
        <f t="shared" si="0"/>
        <v>337</v>
      </c>
    </row>
    <row r="19" spans="1:8" s="15" customFormat="1" ht="38.25" x14ac:dyDescent="0.25">
      <c r="A19" s="123">
        <v>46060</v>
      </c>
      <c r="B19" s="17" t="s">
        <v>121</v>
      </c>
      <c r="C19" s="76" t="s">
        <v>25</v>
      </c>
      <c r="D19" s="17" t="s">
        <v>120</v>
      </c>
      <c r="E19" s="56" t="s">
        <v>122</v>
      </c>
      <c r="F19" s="24">
        <v>10000</v>
      </c>
      <c r="G19" s="23">
        <v>10000</v>
      </c>
      <c r="H19" s="47">
        <f t="shared" si="0"/>
        <v>337</v>
      </c>
    </row>
    <row r="20" spans="1:8" s="15" customFormat="1" ht="38.25" x14ac:dyDescent="0.25">
      <c r="A20" s="123"/>
      <c r="B20" s="17" t="s">
        <v>121</v>
      </c>
      <c r="C20" s="76" t="s">
        <v>25</v>
      </c>
      <c r="D20" s="17" t="s">
        <v>120</v>
      </c>
      <c r="E20" s="12" t="s">
        <v>123</v>
      </c>
      <c r="F20" s="24">
        <v>5000</v>
      </c>
      <c r="G20" s="23">
        <v>112</v>
      </c>
      <c r="H20" s="47">
        <f t="shared" si="0"/>
        <v>5225</v>
      </c>
    </row>
    <row r="21" spans="1:8" s="15" customFormat="1" x14ac:dyDescent="0.25">
      <c r="A21" s="123"/>
      <c r="B21" s="17"/>
      <c r="C21" s="76"/>
      <c r="D21" s="17"/>
      <c r="E21" s="12" t="s">
        <v>124</v>
      </c>
      <c r="F21" s="24"/>
      <c r="G21" s="23">
        <v>150</v>
      </c>
      <c r="H21" s="47">
        <f t="shared" si="0"/>
        <v>5075</v>
      </c>
    </row>
    <row r="22" spans="1:8" s="15" customFormat="1" x14ac:dyDescent="0.25">
      <c r="A22" s="123"/>
      <c r="B22" s="17"/>
      <c r="C22" s="76"/>
      <c r="D22" s="17"/>
      <c r="E22" s="12" t="s">
        <v>125</v>
      </c>
      <c r="F22" s="24"/>
      <c r="G22" s="23">
        <v>220</v>
      </c>
      <c r="H22" s="47">
        <f t="shared" si="0"/>
        <v>4855</v>
      </c>
    </row>
    <row r="23" spans="1:8" s="15" customFormat="1" x14ac:dyDescent="0.25">
      <c r="A23" s="123"/>
      <c r="B23" s="17"/>
      <c r="C23" s="76"/>
      <c r="D23" s="17"/>
      <c r="E23" s="12" t="s">
        <v>126</v>
      </c>
      <c r="F23" s="24"/>
      <c r="G23" s="23">
        <v>54</v>
      </c>
      <c r="H23" s="47">
        <f t="shared" si="0"/>
        <v>4801</v>
      </c>
    </row>
    <row r="24" spans="1:8" s="15" customFormat="1" x14ac:dyDescent="0.2">
      <c r="A24" s="123"/>
      <c r="B24" s="18"/>
      <c r="C24" s="76"/>
      <c r="D24" s="17"/>
      <c r="E24" s="12" t="s">
        <v>127</v>
      </c>
      <c r="F24" s="24"/>
      <c r="G24" s="23">
        <v>500</v>
      </c>
      <c r="H24" s="47">
        <f t="shared" si="0"/>
        <v>4301</v>
      </c>
    </row>
    <row r="25" spans="1:8" s="15" customFormat="1" x14ac:dyDescent="0.25">
      <c r="A25" s="123"/>
      <c r="B25" s="17"/>
      <c r="C25" s="76"/>
      <c r="D25" s="17"/>
      <c r="E25" s="12" t="s">
        <v>128</v>
      </c>
      <c r="F25" s="24"/>
      <c r="G25" s="23">
        <v>290</v>
      </c>
      <c r="H25" s="47">
        <f t="shared" si="0"/>
        <v>4011</v>
      </c>
    </row>
    <row r="26" spans="1:8" s="15" customFormat="1" x14ac:dyDescent="0.25">
      <c r="A26" s="123"/>
      <c r="B26" s="17"/>
      <c r="C26" s="76"/>
      <c r="D26" s="17"/>
      <c r="E26" s="12" t="s">
        <v>130</v>
      </c>
      <c r="F26" s="24"/>
      <c r="G26" s="23">
        <v>170</v>
      </c>
      <c r="H26" s="47">
        <f t="shared" si="0"/>
        <v>3841</v>
      </c>
    </row>
    <row r="27" spans="1:8" s="15" customFormat="1" x14ac:dyDescent="0.25">
      <c r="A27" s="123">
        <v>46062</v>
      </c>
      <c r="B27" s="17"/>
      <c r="C27" s="76"/>
      <c r="D27" s="17"/>
      <c r="E27" s="12" t="s">
        <v>129</v>
      </c>
      <c r="F27" s="24"/>
      <c r="G27" s="23">
        <v>600</v>
      </c>
      <c r="H27" s="47">
        <f t="shared" si="0"/>
        <v>3241</v>
      </c>
    </row>
    <row r="28" spans="1:8" s="15" customFormat="1" x14ac:dyDescent="0.25">
      <c r="A28" s="123"/>
      <c r="B28" s="17"/>
      <c r="C28" s="76"/>
      <c r="D28" s="17"/>
      <c r="E28" s="12" t="s">
        <v>131</v>
      </c>
      <c r="F28" s="24"/>
      <c r="G28" s="23">
        <v>121</v>
      </c>
      <c r="H28" s="47">
        <f t="shared" si="0"/>
        <v>3120</v>
      </c>
    </row>
    <row r="29" spans="1:8" s="15" customFormat="1" x14ac:dyDescent="0.25">
      <c r="A29" s="123"/>
      <c r="B29" s="17"/>
      <c r="C29" s="76"/>
      <c r="D29" s="17"/>
      <c r="E29" s="12" t="s">
        <v>132</v>
      </c>
      <c r="F29" s="24"/>
      <c r="G29" s="23">
        <v>150</v>
      </c>
      <c r="H29" s="47">
        <f t="shared" si="0"/>
        <v>2970</v>
      </c>
    </row>
    <row r="30" spans="1:8" s="15" customFormat="1" x14ac:dyDescent="0.2">
      <c r="A30" s="123">
        <v>46063</v>
      </c>
      <c r="B30" s="18"/>
      <c r="C30" s="76"/>
      <c r="D30" s="17"/>
      <c r="E30" s="12" t="s">
        <v>133</v>
      </c>
      <c r="F30" s="24"/>
      <c r="G30" s="23">
        <v>804</v>
      </c>
      <c r="H30" s="47">
        <f t="shared" si="0"/>
        <v>2166</v>
      </c>
    </row>
    <row r="31" spans="1:8" s="15" customFormat="1" x14ac:dyDescent="0.25">
      <c r="A31" s="123"/>
      <c r="B31" s="17"/>
      <c r="C31" s="76"/>
      <c r="D31" s="17"/>
      <c r="E31" s="12" t="s">
        <v>130</v>
      </c>
      <c r="F31" s="24"/>
      <c r="G31" s="23">
        <v>170</v>
      </c>
      <c r="H31" s="47">
        <f t="shared" si="0"/>
        <v>1996</v>
      </c>
    </row>
    <row r="32" spans="1:8" s="15" customFormat="1" x14ac:dyDescent="0.25">
      <c r="A32" s="123"/>
      <c r="B32" s="17"/>
      <c r="C32" s="76"/>
      <c r="D32" s="17"/>
      <c r="E32" s="12" t="s">
        <v>134</v>
      </c>
      <c r="F32" s="24"/>
      <c r="G32" s="23">
        <v>450</v>
      </c>
      <c r="H32" s="47">
        <f t="shared" si="0"/>
        <v>1546</v>
      </c>
    </row>
    <row r="33" spans="1:8" s="15" customFormat="1" x14ac:dyDescent="0.25">
      <c r="A33" s="123"/>
      <c r="B33" s="17"/>
      <c r="C33" s="76"/>
      <c r="D33" s="17"/>
      <c r="E33" s="12" t="s">
        <v>115</v>
      </c>
      <c r="F33" s="24"/>
      <c r="G33" s="23">
        <v>150</v>
      </c>
      <c r="H33" s="47">
        <f t="shared" si="0"/>
        <v>1396</v>
      </c>
    </row>
    <row r="34" spans="1:8" s="15" customFormat="1" x14ac:dyDescent="0.25">
      <c r="A34" s="123">
        <v>46064</v>
      </c>
      <c r="B34" s="17"/>
      <c r="C34" s="76"/>
      <c r="D34" s="17"/>
      <c r="E34" s="12" t="s">
        <v>135</v>
      </c>
      <c r="F34" s="24"/>
      <c r="G34" s="23">
        <v>150</v>
      </c>
      <c r="H34" s="47">
        <f t="shared" si="0"/>
        <v>1246</v>
      </c>
    </row>
    <row r="35" spans="1:8" s="15" customFormat="1" x14ac:dyDescent="0.25">
      <c r="A35" s="123"/>
      <c r="B35" s="17"/>
      <c r="C35" s="76"/>
      <c r="D35" s="17"/>
      <c r="E35" s="12" t="s">
        <v>137</v>
      </c>
      <c r="F35" s="24"/>
      <c r="G35" s="23">
        <v>1</v>
      </c>
      <c r="H35" s="47">
        <f t="shared" si="0"/>
        <v>1245</v>
      </c>
    </row>
    <row r="36" spans="1:8" s="15" customFormat="1" x14ac:dyDescent="0.25">
      <c r="A36" s="123"/>
      <c r="B36" s="17"/>
      <c r="C36" s="76"/>
      <c r="D36" s="17"/>
      <c r="E36" s="12" t="s">
        <v>136</v>
      </c>
      <c r="F36" s="24"/>
      <c r="G36" s="23">
        <v>1</v>
      </c>
      <c r="H36" s="47">
        <f t="shared" si="0"/>
        <v>1244</v>
      </c>
    </row>
    <row r="37" spans="1:8" s="15" customFormat="1" x14ac:dyDescent="0.25">
      <c r="A37" s="123"/>
      <c r="B37" s="17"/>
      <c r="C37" s="76"/>
      <c r="D37" s="17"/>
      <c r="E37" s="12" t="s">
        <v>136</v>
      </c>
      <c r="F37" s="24"/>
      <c r="G37" s="23">
        <v>1</v>
      </c>
      <c r="H37" s="47">
        <f t="shared" si="0"/>
        <v>1243</v>
      </c>
    </row>
    <row r="38" spans="1:8" s="15" customFormat="1" x14ac:dyDescent="0.25">
      <c r="A38" s="123">
        <v>46065</v>
      </c>
      <c r="B38" s="17"/>
      <c r="C38" s="76"/>
      <c r="D38" s="17"/>
      <c r="E38" s="12" t="s">
        <v>138</v>
      </c>
      <c r="F38" s="24"/>
      <c r="G38" s="23">
        <v>341</v>
      </c>
      <c r="H38" s="47">
        <f t="shared" si="0"/>
        <v>902</v>
      </c>
    </row>
    <row r="39" spans="1:8" x14ac:dyDescent="0.2">
      <c r="A39" s="123"/>
      <c r="B39" s="25"/>
      <c r="C39" s="77"/>
      <c r="D39" s="11"/>
      <c r="E39" s="12" t="s">
        <v>139</v>
      </c>
      <c r="F39" s="24"/>
      <c r="G39" s="23">
        <v>145</v>
      </c>
      <c r="H39" s="47">
        <f t="shared" si="0"/>
        <v>757</v>
      </c>
    </row>
    <row r="40" spans="1:8" x14ac:dyDescent="0.2">
      <c r="A40" s="123"/>
      <c r="B40" s="18"/>
      <c r="C40" s="76"/>
      <c r="D40" s="17"/>
      <c r="E40" s="12" t="s">
        <v>140</v>
      </c>
      <c r="F40" s="24"/>
      <c r="G40" s="23">
        <v>156</v>
      </c>
      <c r="H40" s="47">
        <f t="shared" si="0"/>
        <v>601</v>
      </c>
    </row>
    <row r="41" spans="1:8" x14ac:dyDescent="0.2">
      <c r="A41" s="44">
        <v>46066</v>
      </c>
      <c r="B41" s="25"/>
      <c r="C41" s="77"/>
      <c r="D41" s="11"/>
      <c r="E41" s="11" t="s">
        <v>143</v>
      </c>
      <c r="F41" s="24"/>
      <c r="G41" s="23">
        <v>145</v>
      </c>
      <c r="H41" s="47">
        <f t="shared" si="0"/>
        <v>456</v>
      </c>
    </row>
    <row r="42" spans="1:8" x14ac:dyDescent="0.2">
      <c r="A42" s="123">
        <v>46067</v>
      </c>
      <c r="B42" s="25"/>
      <c r="C42" s="77"/>
      <c r="D42" s="11"/>
      <c r="E42" s="11" t="s">
        <v>141</v>
      </c>
      <c r="F42" s="24"/>
      <c r="G42" s="23">
        <v>200</v>
      </c>
      <c r="H42" s="47">
        <f t="shared" si="0"/>
        <v>256</v>
      </c>
    </row>
    <row r="43" spans="1:8" x14ac:dyDescent="0.2">
      <c r="A43" s="123"/>
      <c r="B43" s="25"/>
      <c r="C43" s="77"/>
      <c r="D43" s="11"/>
      <c r="E43" s="12" t="s">
        <v>142</v>
      </c>
      <c r="F43" s="24"/>
      <c r="G43" s="23">
        <v>250</v>
      </c>
      <c r="H43" s="47">
        <f t="shared" si="0"/>
        <v>6</v>
      </c>
    </row>
    <row r="44" spans="1:8" ht="25.5" x14ac:dyDescent="0.2">
      <c r="A44" s="123"/>
      <c r="B44" s="17" t="s">
        <v>120</v>
      </c>
      <c r="C44" s="76" t="s">
        <v>145</v>
      </c>
      <c r="D44" s="17" t="s">
        <v>120</v>
      </c>
      <c r="E44" s="12" t="s">
        <v>144</v>
      </c>
      <c r="F44" s="24">
        <v>20</v>
      </c>
      <c r="G44" s="23"/>
      <c r="H44" s="47">
        <f t="shared" si="0"/>
        <v>26</v>
      </c>
    </row>
    <row r="45" spans="1:8" ht="25.5" x14ac:dyDescent="0.2">
      <c r="A45" s="74">
        <v>46069</v>
      </c>
      <c r="B45" s="17" t="s">
        <v>120</v>
      </c>
      <c r="C45" s="76" t="s">
        <v>145</v>
      </c>
      <c r="D45" s="17" t="s">
        <v>120</v>
      </c>
      <c r="E45" s="12"/>
      <c r="F45" s="24">
        <v>6000</v>
      </c>
      <c r="G45" s="23"/>
      <c r="H45" s="47">
        <f t="shared" si="0"/>
        <v>6026</v>
      </c>
    </row>
    <row r="46" spans="1:8" x14ac:dyDescent="0.2">
      <c r="A46" s="123">
        <v>46071</v>
      </c>
      <c r="B46" s="17"/>
      <c r="C46" s="77"/>
      <c r="D46" s="11"/>
      <c r="E46" s="11" t="s">
        <v>146</v>
      </c>
      <c r="F46" s="24"/>
      <c r="G46" s="23">
        <v>160</v>
      </c>
      <c r="H46" s="47">
        <f t="shared" si="0"/>
        <v>5866</v>
      </c>
    </row>
    <row r="47" spans="1:8" x14ac:dyDescent="0.2">
      <c r="A47" s="123"/>
      <c r="B47" s="17"/>
      <c r="C47" s="77"/>
      <c r="D47" s="11"/>
      <c r="E47" s="11" t="s">
        <v>147</v>
      </c>
      <c r="F47" s="24"/>
      <c r="G47" s="23">
        <v>400</v>
      </c>
      <c r="H47" s="47">
        <f t="shared" si="0"/>
        <v>5466</v>
      </c>
    </row>
    <row r="48" spans="1:8" x14ac:dyDescent="0.2">
      <c r="A48" s="123">
        <v>46072</v>
      </c>
      <c r="B48" s="18"/>
      <c r="C48" s="76"/>
      <c r="D48" s="18"/>
      <c r="E48" s="11" t="s">
        <v>148</v>
      </c>
      <c r="F48" s="24"/>
      <c r="G48" s="23">
        <v>400</v>
      </c>
      <c r="H48" s="47">
        <f t="shared" si="0"/>
        <v>5066</v>
      </c>
    </row>
    <row r="49" spans="1:8" x14ac:dyDescent="0.2">
      <c r="A49" s="123"/>
      <c r="B49" s="18"/>
      <c r="C49" s="76"/>
      <c r="D49" s="18"/>
      <c r="E49" s="11" t="s">
        <v>149</v>
      </c>
      <c r="F49" s="24"/>
      <c r="G49" s="23">
        <v>104.9</v>
      </c>
      <c r="H49" s="47">
        <f t="shared" si="0"/>
        <v>4961.1000000000004</v>
      </c>
    </row>
    <row r="50" spans="1:8" x14ac:dyDescent="0.2">
      <c r="A50" s="123"/>
      <c r="B50" s="17"/>
      <c r="C50" s="76"/>
      <c r="D50" s="18"/>
      <c r="E50" s="11" t="s">
        <v>150</v>
      </c>
      <c r="F50" s="24"/>
      <c r="G50" s="23">
        <v>100</v>
      </c>
      <c r="H50" s="47">
        <f t="shared" si="0"/>
        <v>4861.1000000000004</v>
      </c>
    </row>
    <row r="51" spans="1:8" x14ac:dyDescent="0.2">
      <c r="A51" s="123"/>
      <c r="B51" s="18"/>
      <c r="C51" s="76"/>
      <c r="D51" s="18"/>
      <c r="E51" s="12" t="s">
        <v>151</v>
      </c>
      <c r="F51" s="24"/>
      <c r="G51" s="23">
        <v>80</v>
      </c>
      <c r="H51" s="47">
        <f t="shared" si="0"/>
        <v>4781.1000000000004</v>
      </c>
    </row>
    <row r="52" spans="1:8" x14ac:dyDescent="0.2">
      <c r="A52" s="123">
        <v>46073</v>
      </c>
      <c r="B52" s="18"/>
      <c r="C52" s="76"/>
      <c r="D52" s="18"/>
      <c r="E52" s="12" t="s">
        <v>152</v>
      </c>
      <c r="F52" s="24"/>
      <c r="G52" s="23">
        <v>608</v>
      </c>
      <c r="H52" s="47">
        <f t="shared" si="0"/>
        <v>4173.1000000000004</v>
      </c>
    </row>
    <row r="53" spans="1:8" x14ac:dyDescent="0.2">
      <c r="A53" s="123"/>
      <c r="B53" s="18"/>
      <c r="C53" s="76"/>
      <c r="D53" s="18"/>
      <c r="E53" s="12" t="s">
        <v>153</v>
      </c>
      <c r="F53" s="24"/>
      <c r="G53" s="23">
        <v>180</v>
      </c>
      <c r="H53" s="47">
        <f t="shared" si="0"/>
        <v>3993.1000000000004</v>
      </c>
    </row>
    <row r="54" spans="1:8" x14ac:dyDescent="0.2">
      <c r="A54" s="123"/>
      <c r="B54" s="18"/>
      <c r="C54" s="76"/>
      <c r="D54" s="18"/>
      <c r="E54" s="57" t="s">
        <v>154</v>
      </c>
      <c r="F54" s="24"/>
      <c r="G54" s="23">
        <v>90</v>
      </c>
      <c r="H54" s="47">
        <f t="shared" si="0"/>
        <v>3903.1000000000004</v>
      </c>
    </row>
    <row r="55" spans="1:8" ht="25.5" x14ac:dyDescent="0.2">
      <c r="A55" s="123">
        <v>46076</v>
      </c>
      <c r="B55" s="17" t="s">
        <v>120</v>
      </c>
      <c r="C55" s="76" t="s">
        <v>145</v>
      </c>
      <c r="D55" s="17" t="s">
        <v>120</v>
      </c>
      <c r="E55" s="11" t="s">
        <v>155</v>
      </c>
      <c r="F55" s="24">
        <v>5000</v>
      </c>
      <c r="G55" s="23">
        <v>350</v>
      </c>
      <c r="H55" s="47">
        <f t="shared" si="0"/>
        <v>8553.1</v>
      </c>
    </row>
    <row r="56" spans="1:8" x14ac:dyDescent="0.2">
      <c r="A56" s="123"/>
      <c r="B56" s="18"/>
      <c r="C56" s="76"/>
      <c r="D56" s="18"/>
      <c r="E56" s="12" t="s">
        <v>156</v>
      </c>
      <c r="F56" s="24"/>
      <c r="G56" s="23">
        <v>319.5</v>
      </c>
      <c r="H56" s="47">
        <f t="shared" si="0"/>
        <v>8233.6</v>
      </c>
    </row>
    <row r="57" spans="1:8" x14ac:dyDescent="0.2">
      <c r="A57" s="123"/>
      <c r="B57" s="18"/>
      <c r="C57" s="76"/>
      <c r="D57" s="18"/>
      <c r="E57" s="12" t="s">
        <v>157</v>
      </c>
      <c r="F57" s="24"/>
      <c r="G57" s="23">
        <v>240</v>
      </c>
      <c r="H57" s="47">
        <f t="shared" si="0"/>
        <v>7993.6</v>
      </c>
    </row>
    <row r="58" spans="1:8" x14ac:dyDescent="0.2">
      <c r="A58" s="123"/>
      <c r="B58" s="18"/>
      <c r="C58" s="76"/>
      <c r="D58" s="18"/>
      <c r="E58" s="11" t="s">
        <v>158</v>
      </c>
      <c r="F58" s="24"/>
      <c r="G58" s="23">
        <v>82</v>
      </c>
      <c r="H58" s="47">
        <f t="shared" si="0"/>
        <v>7911.6</v>
      </c>
    </row>
    <row r="59" spans="1:8" x14ac:dyDescent="0.2">
      <c r="A59" s="123">
        <v>46077</v>
      </c>
      <c r="B59" s="18"/>
      <c r="C59" s="76"/>
      <c r="D59" s="18"/>
      <c r="E59" s="11" t="s">
        <v>159</v>
      </c>
      <c r="F59" s="24"/>
      <c r="G59" s="23">
        <v>1500</v>
      </c>
      <c r="H59" s="47">
        <f t="shared" si="0"/>
        <v>6411.6</v>
      </c>
    </row>
    <row r="60" spans="1:8" x14ac:dyDescent="0.2">
      <c r="A60" s="123"/>
      <c r="B60" s="18"/>
      <c r="C60" s="76"/>
      <c r="D60" s="18"/>
      <c r="E60" s="11" t="s">
        <v>176</v>
      </c>
      <c r="F60" s="24"/>
      <c r="G60" s="23">
        <v>180</v>
      </c>
      <c r="H60" s="47">
        <f t="shared" si="0"/>
        <v>6231.6</v>
      </c>
    </row>
    <row r="61" spans="1:8" x14ac:dyDescent="0.2">
      <c r="A61" s="123"/>
      <c r="B61" s="10"/>
      <c r="C61" s="78"/>
      <c r="D61" s="10"/>
      <c r="E61" s="57" t="s">
        <v>154</v>
      </c>
      <c r="F61" s="24"/>
      <c r="G61" s="23">
        <v>220</v>
      </c>
      <c r="H61" s="47">
        <f t="shared" si="0"/>
        <v>6011.6</v>
      </c>
    </row>
    <row r="62" spans="1:8" x14ac:dyDescent="0.2">
      <c r="A62" s="123"/>
      <c r="B62" s="10"/>
      <c r="C62" s="78"/>
      <c r="D62" s="10"/>
      <c r="E62" s="11" t="s">
        <v>174</v>
      </c>
      <c r="F62" s="24"/>
      <c r="G62" s="23">
        <v>243.7</v>
      </c>
      <c r="H62" s="47">
        <f t="shared" si="0"/>
        <v>5767.9000000000005</v>
      </c>
    </row>
    <row r="63" spans="1:8" x14ac:dyDescent="0.2">
      <c r="A63" s="123"/>
      <c r="B63" s="10"/>
      <c r="C63" s="78"/>
      <c r="D63" s="10"/>
      <c r="E63" s="11" t="s">
        <v>160</v>
      </c>
      <c r="F63" s="24"/>
      <c r="G63" s="23">
        <v>750</v>
      </c>
      <c r="H63" s="47">
        <f t="shared" si="0"/>
        <v>5017.9000000000005</v>
      </c>
    </row>
    <row r="64" spans="1:8" x14ac:dyDescent="0.2">
      <c r="A64" s="123">
        <v>46078</v>
      </c>
      <c r="B64" s="10"/>
      <c r="C64" s="78"/>
      <c r="D64" s="10"/>
      <c r="E64" s="11" t="s">
        <v>161</v>
      </c>
      <c r="F64" s="24"/>
      <c r="G64" s="23">
        <v>1000</v>
      </c>
      <c r="H64" s="47">
        <f t="shared" si="0"/>
        <v>4017.9000000000005</v>
      </c>
    </row>
    <row r="65" spans="1:9" x14ac:dyDescent="0.2">
      <c r="A65" s="123"/>
      <c r="B65" s="10"/>
      <c r="C65" s="78"/>
      <c r="D65" s="10"/>
      <c r="E65" s="11" t="s">
        <v>162</v>
      </c>
      <c r="F65" s="24"/>
      <c r="G65" s="23">
        <v>1200</v>
      </c>
      <c r="H65" s="47">
        <f t="shared" si="0"/>
        <v>2817.9000000000005</v>
      </c>
    </row>
    <row r="66" spans="1:9" x14ac:dyDescent="0.2">
      <c r="A66" s="123">
        <v>46079</v>
      </c>
      <c r="B66" s="18"/>
      <c r="C66" s="76"/>
      <c r="D66" s="18"/>
      <c r="E66" s="11" t="s">
        <v>163</v>
      </c>
      <c r="F66" s="24"/>
      <c r="G66" s="23">
        <v>144</v>
      </c>
      <c r="H66" s="47">
        <f t="shared" si="0"/>
        <v>2673.9000000000005</v>
      </c>
    </row>
    <row r="67" spans="1:9" x14ac:dyDescent="0.2">
      <c r="A67" s="123"/>
      <c r="B67" s="18"/>
      <c r="C67" s="76"/>
      <c r="D67" s="18"/>
      <c r="E67" s="12" t="s">
        <v>175</v>
      </c>
      <c r="F67" s="24"/>
      <c r="G67" s="23">
        <v>40</v>
      </c>
      <c r="H67" s="47">
        <f t="shared" si="0"/>
        <v>2633.9000000000005</v>
      </c>
    </row>
    <row r="68" spans="1:9" x14ac:dyDescent="0.2">
      <c r="A68" s="123"/>
      <c r="B68" s="18"/>
      <c r="C68" s="76"/>
      <c r="D68" s="18"/>
      <c r="E68" s="11" t="s">
        <v>164</v>
      </c>
      <c r="F68" s="24"/>
      <c r="G68" s="23">
        <v>186</v>
      </c>
      <c r="H68" s="47">
        <f t="shared" si="0"/>
        <v>2447.9000000000005</v>
      </c>
    </row>
    <row r="69" spans="1:9" x14ac:dyDescent="0.2">
      <c r="A69" s="123"/>
      <c r="B69" s="18"/>
      <c r="C69" s="76"/>
      <c r="D69" s="18"/>
      <c r="E69" s="11" t="s">
        <v>165</v>
      </c>
      <c r="F69" s="24"/>
      <c r="G69" s="23">
        <v>181</v>
      </c>
      <c r="H69" s="47">
        <f t="shared" ref="H69:H111" si="1">H68+F69-G69</f>
        <v>2266.9000000000005</v>
      </c>
    </row>
    <row r="70" spans="1:9" x14ac:dyDescent="0.2">
      <c r="A70" s="123">
        <v>46080</v>
      </c>
      <c r="B70" s="18"/>
      <c r="C70" s="76"/>
      <c r="D70" s="18"/>
      <c r="E70" s="11" t="s">
        <v>173</v>
      </c>
      <c r="F70" s="24"/>
      <c r="G70" s="23">
        <v>1265.96</v>
      </c>
      <c r="H70" s="47">
        <f t="shared" si="1"/>
        <v>1000.9400000000005</v>
      </c>
    </row>
    <row r="71" spans="1:9" x14ac:dyDescent="0.2">
      <c r="A71" s="123"/>
      <c r="B71" s="18"/>
      <c r="C71" s="76"/>
      <c r="D71" s="18"/>
      <c r="E71" s="11" t="s">
        <v>166</v>
      </c>
      <c r="F71" s="24"/>
      <c r="G71" s="23">
        <v>330</v>
      </c>
      <c r="H71" s="47">
        <f t="shared" si="1"/>
        <v>670.94000000000051</v>
      </c>
    </row>
    <row r="72" spans="1:9" x14ac:dyDescent="0.2">
      <c r="A72" s="123"/>
      <c r="B72" s="18"/>
      <c r="C72" s="76"/>
      <c r="D72" s="18"/>
      <c r="E72" s="11" t="s">
        <v>167</v>
      </c>
      <c r="F72" s="24"/>
      <c r="G72" s="23">
        <v>460</v>
      </c>
      <c r="H72" s="47">
        <f t="shared" si="1"/>
        <v>210.94000000000051</v>
      </c>
    </row>
    <row r="73" spans="1:9" ht="25.5" x14ac:dyDescent="0.2">
      <c r="A73" s="123">
        <v>46081</v>
      </c>
      <c r="B73" s="17" t="s">
        <v>120</v>
      </c>
      <c r="C73" s="76" t="s">
        <v>145</v>
      </c>
      <c r="D73" s="17" t="s">
        <v>120</v>
      </c>
      <c r="E73" s="11" t="s">
        <v>168</v>
      </c>
      <c r="F73" s="24">
        <v>5000</v>
      </c>
      <c r="G73" s="23">
        <v>2000</v>
      </c>
      <c r="H73" s="47">
        <f t="shared" si="1"/>
        <v>3210.9400000000005</v>
      </c>
    </row>
    <row r="74" spans="1:9" ht="15" customHeight="1" x14ac:dyDescent="0.2">
      <c r="A74" s="123"/>
      <c r="B74" s="18"/>
      <c r="C74" s="76"/>
      <c r="D74" s="18"/>
      <c r="E74" s="12" t="s">
        <v>169</v>
      </c>
      <c r="F74" s="24">
        <v>0</v>
      </c>
      <c r="G74" s="23">
        <v>420</v>
      </c>
      <c r="H74" s="47">
        <f t="shared" si="1"/>
        <v>2790.9400000000005</v>
      </c>
    </row>
    <row r="75" spans="1:9" ht="15" customHeight="1" x14ac:dyDescent="0.2">
      <c r="A75" s="123"/>
      <c r="B75" s="18"/>
      <c r="C75" s="76"/>
      <c r="D75" s="18"/>
      <c r="E75" s="11" t="s">
        <v>170</v>
      </c>
      <c r="F75" s="24"/>
      <c r="G75" s="23">
        <v>435</v>
      </c>
      <c r="H75" s="47">
        <f t="shared" si="1"/>
        <v>2355.9400000000005</v>
      </c>
    </row>
    <row r="76" spans="1:9" ht="15" customHeight="1" x14ac:dyDescent="0.2">
      <c r="A76" s="123"/>
      <c r="B76" s="18"/>
      <c r="C76" s="76"/>
      <c r="D76" s="18"/>
      <c r="E76" s="11" t="s">
        <v>171</v>
      </c>
      <c r="F76" s="24"/>
      <c r="G76" s="23">
        <v>150</v>
      </c>
      <c r="H76" s="47">
        <f t="shared" si="1"/>
        <v>2205.9400000000005</v>
      </c>
    </row>
    <row r="77" spans="1:9" ht="15.75" x14ac:dyDescent="0.2">
      <c r="A77" s="123"/>
      <c r="B77" s="18"/>
      <c r="C77" s="76"/>
      <c r="D77" s="18"/>
      <c r="E77" s="11" t="s">
        <v>172</v>
      </c>
      <c r="F77" s="26"/>
      <c r="G77" s="23">
        <v>78</v>
      </c>
      <c r="H77" s="47">
        <f t="shared" si="1"/>
        <v>2127.9400000000005</v>
      </c>
      <c r="I77" s="119" t="s">
        <v>9</v>
      </c>
    </row>
    <row r="78" spans="1:9" ht="16.5" thickBot="1" x14ac:dyDescent="0.25">
      <c r="A78" s="124"/>
      <c r="B78" s="51"/>
      <c r="C78" s="79"/>
      <c r="D78" s="51"/>
      <c r="E78" s="52" t="s">
        <v>180</v>
      </c>
      <c r="F78" s="75"/>
      <c r="G78" s="54">
        <v>700</v>
      </c>
      <c r="H78" s="55">
        <f t="shared" si="1"/>
        <v>1427.9400000000005</v>
      </c>
      <c r="I78" s="119"/>
    </row>
    <row r="79" spans="1:9" x14ac:dyDescent="0.2">
      <c r="A79" s="58"/>
      <c r="B79" s="59"/>
      <c r="C79" s="80"/>
      <c r="D79" s="59"/>
      <c r="E79" s="7"/>
      <c r="F79" s="60"/>
      <c r="G79" s="61"/>
      <c r="H79" s="60">
        <f t="shared" si="1"/>
        <v>1427.9400000000005</v>
      </c>
    </row>
    <row r="80" spans="1:9" x14ac:dyDescent="0.2">
      <c r="A80" s="20"/>
      <c r="B80" s="18"/>
      <c r="C80" s="76"/>
      <c r="D80" s="18"/>
      <c r="E80" s="11"/>
      <c r="F80" s="24"/>
      <c r="G80" s="23"/>
      <c r="H80" s="24">
        <f t="shared" si="1"/>
        <v>1427.9400000000005</v>
      </c>
    </row>
    <row r="81" spans="1:8" x14ac:dyDescent="0.2">
      <c r="A81" s="20"/>
      <c r="B81" s="18"/>
      <c r="C81" s="76"/>
      <c r="D81" s="18"/>
      <c r="E81" s="11"/>
      <c r="F81" s="24"/>
      <c r="G81" s="23"/>
      <c r="H81" s="24">
        <f t="shared" si="1"/>
        <v>1427.9400000000005</v>
      </c>
    </row>
    <row r="82" spans="1:8" x14ac:dyDescent="0.2">
      <c r="A82" s="20"/>
      <c r="B82" s="18"/>
      <c r="C82" s="76"/>
      <c r="D82" s="18"/>
      <c r="E82" s="11"/>
      <c r="F82" s="24"/>
      <c r="G82" s="23"/>
      <c r="H82" s="24">
        <f t="shared" si="1"/>
        <v>1427.9400000000005</v>
      </c>
    </row>
    <row r="83" spans="1:8" x14ac:dyDescent="0.2">
      <c r="A83" s="20"/>
      <c r="B83" s="18"/>
      <c r="C83" s="76"/>
      <c r="D83" s="18"/>
      <c r="E83" s="11"/>
      <c r="F83" s="24"/>
      <c r="G83" s="23"/>
      <c r="H83" s="24">
        <f t="shared" si="1"/>
        <v>1427.9400000000005</v>
      </c>
    </row>
    <row r="84" spans="1:8" x14ac:dyDescent="0.2">
      <c r="A84" s="20"/>
      <c r="B84" s="18"/>
      <c r="C84" s="76"/>
      <c r="D84" s="18"/>
      <c r="E84" s="11"/>
      <c r="F84" s="24"/>
      <c r="G84" s="23"/>
      <c r="H84" s="24">
        <f t="shared" si="1"/>
        <v>1427.9400000000005</v>
      </c>
    </row>
    <row r="85" spans="1:8" x14ac:dyDescent="0.2">
      <c r="A85" s="20"/>
      <c r="B85" s="18"/>
      <c r="C85" s="76"/>
      <c r="D85" s="18"/>
      <c r="E85" s="11"/>
      <c r="F85" s="24"/>
      <c r="G85" s="23"/>
      <c r="H85" s="24">
        <f t="shared" si="1"/>
        <v>1427.9400000000005</v>
      </c>
    </row>
    <row r="86" spans="1:8" x14ac:dyDescent="0.2">
      <c r="A86" s="20"/>
      <c r="B86" s="18"/>
      <c r="C86" s="76"/>
      <c r="D86" s="18"/>
      <c r="E86" s="11"/>
      <c r="F86" s="24"/>
      <c r="G86" s="23"/>
      <c r="H86" s="24">
        <f t="shared" si="1"/>
        <v>1427.9400000000005</v>
      </c>
    </row>
    <row r="87" spans="1:8" x14ac:dyDescent="0.2">
      <c r="A87" s="20"/>
      <c r="B87" s="18"/>
      <c r="C87" s="76"/>
      <c r="D87" s="18"/>
      <c r="E87" s="11"/>
      <c r="F87" s="24"/>
      <c r="G87" s="23"/>
      <c r="H87" s="24">
        <f t="shared" si="1"/>
        <v>1427.9400000000005</v>
      </c>
    </row>
    <row r="88" spans="1:8" x14ac:dyDescent="0.2">
      <c r="A88" s="20"/>
      <c r="B88" s="18"/>
      <c r="C88" s="76"/>
      <c r="D88" s="18"/>
      <c r="E88" s="11"/>
      <c r="F88" s="24"/>
      <c r="G88" s="23"/>
      <c r="H88" s="24">
        <f t="shared" si="1"/>
        <v>1427.9400000000005</v>
      </c>
    </row>
    <row r="89" spans="1:8" x14ac:dyDescent="0.2">
      <c r="A89" s="20"/>
      <c r="B89" s="18"/>
      <c r="C89" s="76"/>
      <c r="D89" s="18"/>
      <c r="E89" s="11"/>
      <c r="F89" s="24"/>
      <c r="G89" s="23"/>
      <c r="H89" s="24">
        <f t="shared" si="1"/>
        <v>1427.9400000000005</v>
      </c>
    </row>
    <row r="90" spans="1:8" x14ac:dyDescent="0.2">
      <c r="A90" s="20"/>
      <c r="B90" s="18"/>
      <c r="C90" s="76"/>
      <c r="D90" s="18"/>
      <c r="E90" s="11"/>
      <c r="F90" s="24"/>
      <c r="G90" s="23"/>
      <c r="H90" s="24">
        <f t="shared" si="1"/>
        <v>1427.9400000000005</v>
      </c>
    </row>
    <row r="91" spans="1:8" x14ac:dyDescent="0.2">
      <c r="A91" s="20"/>
      <c r="B91" s="18"/>
      <c r="C91" s="76"/>
      <c r="D91" s="18"/>
      <c r="E91" s="11"/>
      <c r="F91" s="24"/>
      <c r="G91" s="23"/>
      <c r="H91" s="24">
        <f t="shared" si="1"/>
        <v>1427.9400000000005</v>
      </c>
    </row>
    <row r="92" spans="1:8" x14ac:dyDescent="0.2">
      <c r="A92" s="20"/>
      <c r="B92" s="18"/>
      <c r="C92" s="76"/>
      <c r="D92" s="18"/>
      <c r="E92" s="11"/>
      <c r="F92" s="24"/>
      <c r="G92" s="23"/>
      <c r="H92" s="24">
        <f t="shared" si="1"/>
        <v>1427.9400000000005</v>
      </c>
    </row>
    <row r="93" spans="1:8" x14ac:dyDescent="0.2">
      <c r="A93" s="20"/>
      <c r="B93" s="18"/>
      <c r="C93" s="76"/>
      <c r="D93" s="18"/>
      <c r="E93" s="11"/>
      <c r="F93" s="24"/>
      <c r="G93" s="23"/>
      <c r="H93" s="24">
        <f t="shared" si="1"/>
        <v>1427.9400000000005</v>
      </c>
    </row>
    <row r="94" spans="1:8" x14ac:dyDescent="0.2">
      <c r="A94" s="20"/>
      <c r="B94" s="18"/>
      <c r="C94" s="76"/>
      <c r="D94" s="18"/>
      <c r="E94" s="11"/>
      <c r="F94" s="24"/>
      <c r="G94" s="23"/>
      <c r="H94" s="24">
        <f t="shared" si="1"/>
        <v>1427.9400000000005</v>
      </c>
    </row>
    <row r="95" spans="1:8" x14ac:dyDescent="0.2">
      <c r="A95" s="20"/>
      <c r="B95" s="18"/>
      <c r="C95" s="76"/>
      <c r="D95" s="18"/>
      <c r="E95" s="11"/>
      <c r="F95" s="24"/>
      <c r="G95" s="23"/>
      <c r="H95" s="24">
        <f t="shared" si="1"/>
        <v>1427.9400000000005</v>
      </c>
    </row>
    <row r="96" spans="1:8" x14ac:dyDescent="0.2">
      <c r="A96" s="20"/>
      <c r="B96" s="18"/>
      <c r="C96" s="76"/>
      <c r="D96" s="18"/>
      <c r="E96" s="11"/>
      <c r="F96" s="24"/>
      <c r="G96" s="23"/>
      <c r="H96" s="24">
        <f t="shared" si="1"/>
        <v>1427.9400000000005</v>
      </c>
    </row>
    <row r="97" spans="1:8" x14ac:dyDescent="0.2">
      <c r="A97" s="20"/>
      <c r="B97" s="18"/>
      <c r="C97" s="76"/>
      <c r="D97" s="18"/>
      <c r="E97" s="11"/>
      <c r="F97" s="24"/>
      <c r="G97" s="23"/>
      <c r="H97" s="24">
        <f t="shared" si="1"/>
        <v>1427.9400000000005</v>
      </c>
    </row>
    <row r="98" spans="1:8" x14ac:dyDescent="0.2">
      <c r="A98" s="20"/>
      <c r="B98" s="18"/>
      <c r="C98" s="76"/>
      <c r="D98" s="18"/>
      <c r="E98" s="11"/>
      <c r="F98" s="24"/>
      <c r="G98" s="23"/>
      <c r="H98" s="24">
        <f t="shared" si="1"/>
        <v>1427.9400000000005</v>
      </c>
    </row>
    <row r="99" spans="1:8" x14ac:dyDescent="0.2">
      <c r="A99" s="20"/>
      <c r="B99" s="18"/>
      <c r="C99" s="76"/>
      <c r="D99" s="18"/>
      <c r="E99" s="11"/>
      <c r="F99" s="24"/>
      <c r="G99" s="23"/>
      <c r="H99" s="24">
        <f t="shared" si="1"/>
        <v>1427.9400000000005</v>
      </c>
    </row>
    <row r="100" spans="1:8" x14ac:dyDescent="0.2">
      <c r="A100" s="20"/>
      <c r="B100" s="18"/>
      <c r="C100" s="76"/>
      <c r="D100" s="18"/>
      <c r="E100" s="11"/>
      <c r="F100" s="24"/>
      <c r="G100" s="23"/>
      <c r="H100" s="24">
        <f t="shared" si="1"/>
        <v>1427.9400000000005</v>
      </c>
    </row>
    <row r="101" spans="1:8" x14ac:dyDescent="0.2">
      <c r="A101" s="20"/>
      <c r="B101" s="18"/>
      <c r="C101" s="76"/>
      <c r="D101" s="18"/>
      <c r="E101" s="11"/>
      <c r="F101" s="24"/>
      <c r="G101" s="23"/>
      <c r="H101" s="24">
        <f t="shared" si="1"/>
        <v>1427.9400000000005</v>
      </c>
    </row>
    <row r="102" spans="1:8" x14ac:dyDescent="0.2">
      <c r="A102" s="20"/>
      <c r="B102" s="18"/>
      <c r="C102" s="76"/>
      <c r="D102" s="18"/>
      <c r="E102" s="11"/>
      <c r="F102" s="24"/>
      <c r="G102" s="23"/>
      <c r="H102" s="24">
        <f t="shared" si="1"/>
        <v>1427.9400000000005</v>
      </c>
    </row>
    <row r="103" spans="1:8" x14ac:dyDescent="0.2">
      <c r="A103" s="20"/>
      <c r="B103" s="18"/>
      <c r="C103" s="76"/>
      <c r="D103" s="18"/>
      <c r="E103" s="11"/>
      <c r="F103" s="24"/>
      <c r="G103" s="23"/>
      <c r="H103" s="24">
        <f t="shared" si="1"/>
        <v>1427.9400000000005</v>
      </c>
    </row>
    <row r="104" spans="1:8" x14ac:dyDescent="0.2">
      <c r="A104" s="20"/>
      <c r="B104" s="18"/>
      <c r="C104" s="76"/>
      <c r="D104" s="18"/>
      <c r="E104" s="11"/>
      <c r="F104" s="24"/>
      <c r="G104" s="23"/>
      <c r="H104" s="24">
        <f t="shared" si="1"/>
        <v>1427.9400000000005</v>
      </c>
    </row>
    <row r="105" spans="1:8" x14ac:dyDescent="0.2">
      <c r="A105" s="20"/>
      <c r="B105" s="18"/>
      <c r="C105" s="76"/>
      <c r="D105" s="18"/>
      <c r="E105" s="11"/>
      <c r="F105" s="24"/>
      <c r="G105" s="23"/>
      <c r="H105" s="24">
        <f t="shared" si="1"/>
        <v>1427.9400000000005</v>
      </c>
    </row>
    <row r="106" spans="1:8" x14ac:dyDescent="0.2">
      <c r="A106" s="20"/>
      <c r="B106" s="18"/>
      <c r="C106" s="76"/>
      <c r="D106" s="18"/>
      <c r="E106" s="11"/>
      <c r="F106" s="24"/>
      <c r="G106" s="23"/>
      <c r="H106" s="24">
        <f t="shared" si="1"/>
        <v>1427.9400000000005</v>
      </c>
    </row>
    <row r="107" spans="1:8" x14ac:dyDescent="0.2">
      <c r="A107" s="20"/>
      <c r="B107" s="18"/>
      <c r="C107" s="76"/>
      <c r="D107" s="18"/>
      <c r="E107" s="11"/>
      <c r="F107" s="24"/>
      <c r="G107" s="23"/>
      <c r="H107" s="24">
        <f t="shared" si="1"/>
        <v>1427.9400000000005</v>
      </c>
    </row>
    <row r="108" spans="1:8" x14ac:dyDescent="0.2">
      <c r="A108" s="20"/>
      <c r="B108" s="18"/>
      <c r="C108" s="76"/>
      <c r="D108" s="18"/>
      <c r="E108" s="11"/>
      <c r="F108" s="24"/>
      <c r="G108" s="23"/>
      <c r="H108" s="24">
        <f t="shared" si="1"/>
        <v>1427.9400000000005</v>
      </c>
    </row>
    <row r="109" spans="1:8" x14ac:dyDescent="0.2">
      <c r="A109" s="21"/>
      <c r="B109" s="18"/>
      <c r="C109" s="76"/>
      <c r="D109" s="18"/>
      <c r="E109" s="11"/>
      <c r="F109" s="24"/>
      <c r="G109" s="23"/>
      <c r="H109" s="24">
        <f t="shared" si="1"/>
        <v>1427.9400000000005</v>
      </c>
    </row>
    <row r="110" spans="1:8" x14ac:dyDescent="0.2">
      <c r="A110" s="21"/>
      <c r="B110" s="18"/>
      <c r="C110" s="76"/>
      <c r="D110" s="18"/>
      <c r="E110" s="11"/>
      <c r="F110" s="24"/>
      <c r="G110" s="23"/>
      <c r="H110" s="24">
        <f t="shared" si="1"/>
        <v>1427.9400000000005</v>
      </c>
    </row>
    <row r="111" spans="1:8" x14ac:dyDescent="0.2">
      <c r="A111" s="21"/>
      <c r="B111" s="18"/>
      <c r="C111" s="76"/>
      <c r="D111" s="18"/>
      <c r="E111" s="11"/>
      <c r="F111" s="24"/>
      <c r="G111" s="23"/>
      <c r="H111" s="24">
        <f t="shared" si="1"/>
        <v>1427.9400000000005</v>
      </c>
    </row>
  </sheetData>
  <mergeCells count="21">
    <mergeCell ref="A1:H1"/>
    <mergeCell ref="I77:I78"/>
    <mergeCell ref="A6:A9"/>
    <mergeCell ref="A10:A14"/>
    <mergeCell ref="A15:A16"/>
    <mergeCell ref="A17:A18"/>
    <mergeCell ref="A19:A26"/>
    <mergeCell ref="A27:A29"/>
    <mergeCell ref="A30:A33"/>
    <mergeCell ref="A34:A37"/>
    <mergeCell ref="A38:A40"/>
    <mergeCell ref="A42:A44"/>
    <mergeCell ref="A46:A47"/>
    <mergeCell ref="A48:A51"/>
    <mergeCell ref="A52:A54"/>
    <mergeCell ref="A55:A58"/>
    <mergeCell ref="A66:A69"/>
    <mergeCell ref="A70:A72"/>
    <mergeCell ref="A59:A63"/>
    <mergeCell ref="A64:A65"/>
    <mergeCell ref="A73:A78"/>
  </mergeCells>
  <pageMargins left="0.7" right="0.7" top="0.75" bottom="0.75" header="0.3" footer="0.3"/>
  <pageSetup paperSize="9" scale="63" fitToHeight="0" orientation="landscape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34F9-534B-47E0-BB07-A9E4C058E69A}">
  <sheetPr codeName="Sheet2">
    <tabColor rgb="FFFFC000"/>
    <pageSetUpPr fitToPage="1"/>
  </sheetPr>
  <dimension ref="A1:I112"/>
  <sheetViews>
    <sheetView view="pageBreakPreview" zoomScaleNormal="100" zoomScaleSheetLayoutView="100" workbookViewId="0">
      <selection activeCell="E80" sqref="E80"/>
    </sheetView>
  </sheetViews>
  <sheetFormatPr defaultColWidth="8.85546875" defaultRowHeight="12.75" x14ac:dyDescent="0.2"/>
  <cols>
    <col min="1" max="1" width="9.28515625" style="19" bestFit="1" customWidth="1"/>
    <col min="2" max="2" width="14.7109375" style="16" customWidth="1"/>
    <col min="3" max="3" width="16" style="81" bestFit="1" customWidth="1"/>
    <col min="4" max="4" width="19.140625" style="1" customWidth="1"/>
    <col min="5" max="5" width="114.28515625" style="1" customWidth="1"/>
    <col min="6" max="6" width="10.5703125" style="1" bestFit="1" customWidth="1"/>
    <col min="7" max="7" width="10.140625" style="1" bestFit="1" customWidth="1"/>
    <col min="8" max="8" width="11.42578125" style="1" bestFit="1" customWidth="1"/>
    <col min="9" max="9" width="34.42578125" style="1" bestFit="1" customWidth="1"/>
    <col min="10" max="16384" width="8.85546875" style="1"/>
  </cols>
  <sheetData>
    <row r="1" spans="1:8" ht="30" customHeight="1" x14ac:dyDescent="0.2">
      <c r="A1" s="130" t="s">
        <v>178</v>
      </c>
      <c r="B1" s="131"/>
      <c r="C1" s="131"/>
      <c r="D1" s="131"/>
      <c r="E1" s="131"/>
      <c r="F1" s="131"/>
      <c r="G1" s="131"/>
      <c r="H1" s="132"/>
    </row>
    <row r="2" spans="1:8" x14ac:dyDescent="0.2">
      <c r="A2" s="69"/>
      <c r="B2" s="25"/>
      <c r="C2" s="77"/>
      <c r="D2" s="11"/>
      <c r="E2" s="11"/>
      <c r="F2" s="62" t="s">
        <v>0</v>
      </c>
      <c r="G2" s="62" t="s">
        <v>1</v>
      </c>
      <c r="H2" s="70" t="s">
        <v>2</v>
      </c>
    </row>
    <row r="3" spans="1:8" s="22" customFormat="1" x14ac:dyDescent="0.2">
      <c r="A3" s="71" t="s">
        <v>8</v>
      </c>
      <c r="B3" s="63" t="s">
        <v>3</v>
      </c>
      <c r="C3" s="63" t="s">
        <v>4</v>
      </c>
      <c r="D3" s="63" t="s">
        <v>5</v>
      </c>
      <c r="E3" s="63" t="s">
        <v>6</v>
      </c>
      <c r="F3" s="64">
        <f>SUM(F4:F268)</f>
        <v>31433</v>
      </c>
      <c r="G3" s="65">
        <f>SUM(G4:G268)</f>
        <v>34364</v>
      </c>
      <c r="H3" s="72">
        <f>+F3-G3</f>
        <v>-2931</v>
      </c>
    </row>
    <row r="4" spans="1:8" x14ac:dyDescent="0.2">
      <c r="A4" s="49"/>
      <c r="B4" s="10"/>
      <c r="C4" s="78"/>
      <c r="D4" s="10"/>
      <c r="E4" s="11"/>
      <c r="F4" s="66"/>
      <c r="G4" s="67"/>
      <c r="H4" s="73"/>
    </row>
    <row r="5" spans="1:8" s="15" customFormat="1" x14ac:dyDescent="0.25">
      <c r="A5" s="44">
        <v>46082</v>
      </c>
      <c r="B5" s="17" t="s">
        <v>9</v>
      </c>
      <c r="C5" s="76" t="s">
        <v>9</v>
      </c>
      <c r="D5" s="17" t="s">
        <v>9</v>
      </c>
      <c r="E5" s="12" t="s">
        <v>108</v>
      </c>
      <c r="F5" s="13">
        <v>1427</v>
      </c>
      <c r="G5" s="14">
        <v>0</v>
      </c>
      <c r="H5" s="45">
        <f t="shared" ref="H5:H68" si="0">H4+F5-G5</f>
        <v>1427</v>
      </c>
    </row>
    <row r="6" spans="1:8" s="15" customFormat="1" x14ac:dyDescent="0.25">
      <c r="A6" s="44">
        <v>46083</v>
      </c>
      <c r="B6" s="17"/>
      <c r="C6" s="76"/>
      <c r="D6" s="17"/>
      <c r="E6" s="12" t="s">
        <v>194</v>
      </c>
      <c r="F6" s="13"/>
      <c r="G6" s="23">
        <v>736</v>
      </c>
      <c r="H6" s="47">
        <f t="shared" si="0"/>
        <v>691</v>
      </c>
    </row>
    <row r="7" spans="1:8" s="15" customFormat="1" x14ac:dyDescent="0.25">
      <c r="A7" s="120">
        <v>46084</v>
      </c>
      <c r="B7" s="17"/>
      <c r="C7" s="76"/>
      <c r="D7" s="17"/>
      <c r="E7" s="12" t="s">
        <v>179</v>
      </c>
      <c r="F7" s="24"/>
      <c r="G7" s="23">
        <v>100</v>
      </c>
      <c r="H7" s="47">
        <f t="shared" si="0"/>
        <v>591</v>
      </c>
    </row>
    <row r="8" spans="1:8" s="15" customFormat="1" x14ac:dyDescent="0.25">
      <c r="A8" s="121"/>
      <c r="B8" s="17"/>
      <c r="C8" s="76"/>
      <c r="D8" s="17"/>
      <c r="E8" s="12" t="s">
        <v>181</v>
      </c>
      <c r="F8" s="24"/>
      <c r="G8" s="23">
        <v>450</v>
      </c>
      <c r="H8" s="47">
        <f t="shared" si="0"/>
        <v>141</v>
      </c>
    </row>
    <row r="9" spans="1:8" s="15" customFormat="1" ht="38.25" x14ac:dyDescent="0.25">
      <c r="A9" s="121"/>
      <c r="B9" s="17" t="s">
        <v>121</v>
      </c>
      <c r="C9" s="76" t="s">
        <v>25</v>
      </c>
      <c r="D9" s="17" t="s">
        <v>120</v>
      </c>
      <c r="E9" s="12" t="s">
        <v>183</v>
      </c>
      <c r="F9" s="24">
        <v>5000</v>
      </c>
      <c r="G9" s="23">
        <v>2500</v>
      </c>
      <c r="H9" s="47">
        <f t="shared" si="0"/>
        <v>2641</v>
      </c>
    </row>
    <row r="10" spans="1:8" s="15" customFormat="1" x14ac:dyDescent="0.2">
      <c r="A10" s="122"/>
      <c r="B10" s="18"/>
      <c r="C10" s="76"/>
      <c r="D10" s="17"/>
      <c r="E10" s="12" t="s">
        <v>182</v>
      </c>
      <c r="F10" s="24"/>
      <c r="G10" s="23">
        <v>150</v>
      </c>
      <c r="H10" s="47">
        <f t="shared" si="0"/>
        <v>2491</v>
      </c>
    </row>
    <row r="11" spans="1:8" s="15" customFormat="1" x14ac:dyDescent="0.25">
      <c r="A11" s="82">
        <v>46086</v>
      </c>
      <c r="B11" s="17"/>
      <c r="C11" s="76"/>
      <c r="D11" s="17"/>
      <c r="E11" s="12" t="s">
        <v>184</v>
      </c>
      <c r="F11" s="24"/>
      <c r="G11" s="23">
        <v>1201</v>
      </c>
      <c r="H11" s="47">
        <f t="shared" si="0"/>
        <v>1290</v>
      </c>
    </row>
    <row r="12" spans="1:8" s="15" customFormat="1" x14ac:dyDescent="0.25">
      <c r="A12" s="82">
        <v>46087</v>
      </c>
      <c r="B12" s="17"/>
      <c r="C12" s="76"/>
      <c r="D12" s="17"/>
      <c r="E12" s="12" t="s">
        <v>186</v>
      </c>
      <c r="F12" s="24"/>
      <c r="G12" s="23">
        <v>680</v>
      </c>
      <c r="H12" s="47">
        <f t="shared" si="0"/>
        <v>610</v>
      </c>
    </row>
    <row r="13" spans="1:8" s="15" customFormat="1" x14ac:dyDescent="0.2">
      <c r="A13" s="82">
        <v>46087</v>
      </c>
      <c r="B13" s="18"/>
      <c r="C13" s="76"/>
      <c r="D13" s="17"/>
      <c r="E13" s="12" t="s">
        <v>185</v>
      </c>
      <c r="F13" s="24"/>
      <c r="G13" s="23">
        <v>500</v>
      </c>
      <c r="H13" s="47">
        <f t="shared" si="0"/>
        <v>110</v>
      </c>
    </row>
    <row r="14" spans="1:8" s="15" customFormat="1" ht="38.25" x14ac:dyDescent="0.25">
      <c r="A14" s="120">
        <v>46088</v>
      </c>
      <c r="B14" s="17" t="s">
        <v>121</v>
      </c>
      <c r="C14" s="76" t="s">
        <v>25</v>
      </c>
      <c r="D14" s="17" t="s">
        <v>120</v>
      </c>
      <c r="E14" s="12" t="s">
        <v>187</v>
      </c>
      <c r="F14" s="24">
        <v>7000</v>
      </c>
      <c r="G14" s="23">
        <v>200</v>
      </c>
      <c r="H14" s="47">
        <f t="shared" si="0"/>
        <v>6910</v>
      </c>
    </row>
    <row r="15" spans="1:8" s="15" customFormat="1" x14ac:dyDescent="0.25">
      <c r="A15" s="121"/>
      <c r="B15" s="17"/>
      <c r="C15" s="76"/>
      <c r="D15" s="17"/>
      <c r="E15" s="12" t="s">
        <v>188</v>
      </c>
      <c r="F15" s="24"/>
      <c r="G15" s="23">
        <v>80</v>
      </c>
      <c r="H15" s="47">
        <f t="shared" si="0"/>
        <v>6830</v>
      </c>
    </row>
    <row r="16" spans="1:8" s="15" customFormat="1" x14ac:dyDescent="0.25">
      <c r="A16" s="121"/>
      <c r="B16" s="17"/>
      <c r="C16" s="76"/>
      <c r="D16" s="17"/>
      <c r="E16" s="12" t="s">
        <v>189</v>
      </c>
      <c r="F16" s="24"/>
      <c r="G16" s="23">
        <v>300</v>
      </c>
      <c r="H16" s="47">
        <f t="shared" si="0"/>
        <v>6530</v>
      </c>
    </row>
    <row r="17" spans="1:8" s="15" customFormat="1" x14ac:dyDescent="0.25">
      <c r="A17" s="121"/>
      <c r="B17" s="17"/>
      <c r="C17" s="76"/>
      <c r="D17" s="17"/>
      <c r="E17" s="12" t="s">
        <v>190</v>
      </c>
      <c r="F17" s="24"/>
      <c r="G17" s="23">
        <v>900</v>
      </c>
      <c r="H17" s="47">
        <f t="shared" si="0"/>
        <v>5630</v>
      </c>
    </row>
    <row r="18" spans="1:8" s="15" customFormat="1" x14ac:dyDescent="0.25">
      <c r="A18" s="122"/>
      <c r="B18" s="17"/>
      <c r="C18" s="76"/>
      <c r="D18" s="17"/>
      <c r="E18" s="12" t="s">
        <v>191</v>
      </c>
      <c r="F18" s="24"/>
      <c r="G18" s="23">
        <v>1200</v>
      </c>
      <c r="H18" s="47">
        <f t="shared" si="0"/>
        <v>4430</v>
      </c>
    </row>
    <row r="19" spans="1:8" s="15" customFormat="1" x14ac:dyDescent="0.25">
      <c r="A19" s="82">
        <v>46091</v>
      </c>
      <c r="B19" s="17"/>
      <c r="C19" s="76"/>
      <c r="D19" s="17"/>
      <c r="E19" s="12" t="s">
        <v>192</v>
      </c>
      <c r="F19" s="24"/>
      <c r="G19" s="23">
        <v>150</v>
      </c>
      <c r="H19" s="47">
        <f t="shared" si="0"/>
        <v>4280</v>
      </c>
    </row>
    <row r="20" spans="1:8" s="15" customFormat="1" x14ac:dyDescent="0.25">
      <c r="A20" s="120">
        <v>46092</v>
      </c>
      <c r="B20" s="17"/>
      <c r="C20" s="76"/>
      <c r="D20" s="17"/>
      <c r="E20" s="12" t="s">
        <v>193</v>
      </c>
      <c r="F20" s="24"/>
      <c r="G20" s="23">
        <v>736</v>
      </c>
      <c r="H20" s="47">
        <f t="shared" si="0"/>
        <v>3544</v>
      </c>
    </row>
    <row r="21" spans="1:8" s="15" customFormat="1" x14ac:dyDescent="0.25">
      <c r="A21" s="121"/>
      <c r="B21" s="17"/>
      <c r="C21" s="76"/>
      <c r="D21" s="17"/>
      <c r="E21" s="12" t="s">
        <v>226</v>
      </c>
      <c r="F21" s="24"/>
      <c r="G21" s="23">
        <v>40</v>
      </c>
      <c r="H21" s="47">
        <f t="shared" si="0"/>
        <v>3504</v>
      </c>
    </row>
    <row r="22" spans="1:8" s="15" customFormat="1" x14ac:dyDescent="0.25">
      <c r="A22" s="121"/>
      <c r="B22" s="17"/>
      <c r="C22" s="76"/>
      <c r="D22" s="17"/>
      <c r="E22" s="12" t="s">
        <v>195</v>
      </c>
      <c r="F22" s="24"/>
      <c r="G22" s="23">
        <v>600</v>
      </c>
      <c r="H22" s="47">
        <f t="shared" si="0"/>
        <v>2904</v>
      </c>
    </row>
    <row r="23" spans="1:8" s="15" customFormat="1" x14ac:dyDescent="0.25">
      <c r="A23" s="122"/>
      <c r="B23" s="17"/>
      <c r="C23" s="76"/>
      <c r="D23" s="17"/>
      <c r="E23" s="12" t="s">
        <v>196</v>
      </c>
      <c r="F23" s="24"/>
      <c r="G23" s="23">
        <v>110</v>
      </c>
      <c r="H23" s="47">
        <f t="shared" si="0"/>
        <v>2794</v>
      </c>
    </row>
    <row r="24" spans="1:8" s="15" customFormat="1" ht="38.25" x14ac:dyDescent="0.25">
      <c r="A24" s="82">
        <v>46093</v>
      </c>
      <c r="B24" s="17" t="s">
        <v>121</v>
      </c>
      <c r="C24" s="76" t="s">
        <v>25</v>
      </c>
      <c r="D24" s="17" t="s">
        <v>120</v>
      </c>
      <c r="E24" s="12" t="s">
        <v>197</v>
      </c>
      <c r="F24" s="24">
        <v>8000</v>
      </c>
      <c r="G24" s="23">
        <v>790</v>
      </c>
      <c r="H24" s="47">
        <f t="shared" si="0"/>
        <v>10004</v>
      </c>
    </row>
    <row r="25" spans="1:8" s="15" customFormat="1" x14ac:dyDescent="0.25">
      <c r="A25" s="120">
        <v>46094</v>
      </c>
      <c r="B25" s="17"/>
      <c r="C25" s="76"/>
      <c r="D25" s="17"/>
      <c r="E25" s="12" t="s">
        <v>198</v>
      </c>
      <c r="F25" s="24"/>
      <c r="G25" s="23">
        <v>350</v>
      </c>
      <c r="H25" s="47">
        <f t="shared" si="0"/>
        <v>9654</v>
      </c>
    </row>
    <row r="26" spans="1:8" s="15" customFormat="1" x14ac:dyDescent="0.25">
      <c r="A26" s="121"/>
      <c r="B26" s="17"/>
      <c r="C26" s="76"/>
      <c r="D26" s="17"/>
      <c r="E26" s="12" t="s">
        <v>199</v>
      </c>
      <c r="F26" s="24"/>
      <c r="G26" s="23">
        <v>490</v>
      </c>
      <c r="H26" s="47">
        <f t="shared" si="0"/>
        <v>9164</v>
      </c>
    </row>
    <row r="27" spans="1:8" s="15" customFormat="1" x14ac:dyDescent="0.25">
      <c r="A27" s="121"/>
      <c r="B27" s="17"/>
      <c r="C27" s="76"/>
      <c r="D27" s="17"/>
      <c r="E27" s="12" t="s">
        <v>200</v>
      </c>
      <c r="F27" s="24"/>
      <c r="G27" s="23">
        <v>360</v>
      </c>
      <c r="H27" s="47">
        <f t="shared" si="0"/>
        <v>8804</v>
      </c>
    </row>
    <row r="28" spans="1:8" s="15" customFormat="1" x14ac:dyDescent="0.25">
      <c r="A28" s="121"/>
      <c r="B28" s="17"/>
      <c r="C28" s="76"/>
      <c r="D28" s="17"/>
      <c r="E28" s="56" t="s">
        <v>201</v>
      </c>
      <c r="F28" s="24"/>
      <c r="G28" s="23">
        <v>500</v>
      </c>
      <c r="H28" s="47">
        <f t="shared" si="0"/>
        <v>8304</v>
      </c>
    </row>
    <row r="29" spans="1:8" s="15" customFormat="1" x14ac:dyDescent="0.25">
      <c r="A29" s="121"/>
      <c r="B29" s="17"/>
      <c r="C29" s="76"/>
      <c r="D29" s="17"/>
      <c r="E29" s="12" t="s">
        <v>202</v>
      </c>
      <c r="F29" s="24"/>
      <c r="G29" s="23">
        <v>500</v>
      </c>
      <c r="H29" s="47">
        <f t="shared" si="0"/>
        <v>7804</v>
      </c>
    </row>
    <row r="30" spans="1:8" s="15" customFormat="1" x14ac:dyDescent="0.2">
      <c r="A30" s="121"/>
      <c r="B30" s="18"/>
      <c r="C30" s="76"/>
      <c r="D30" s="17"/>
      <c r="E30" s="12" t="s">
        <v>203</v>
      </c>
      <c r="F30" s="24"/>
      <c r="G30" s="23">
        <v>320</v>
      </c>
      <c r="H30" s="47">
        <f t="shared" si="0"/>
        <v>7484</v>
      </c>
    </row>
    <row r="31" spans="1:8" s="15" customFormat="1" x14ac:dyDescent="0.25">
      <c r="A31" s="121"/>
      <c r="B31" s="17"/>
      <c r="C31" s="76"/>
      <c r="D31" s="17"/>
      <c r="E31" s="12" t="s">
        <v>204</v>
      </c>
      <c r="F31" s="24"/>
      <c r="G31" s="23">
        <v>170</v>
      </c>
      <c r="H31" s="47">
        <f t="shared" si="0"/>
        <v>7314</v>
      </c>
    </row>
    <row r="32" spans="1:8" s="15" customFormat="1" x14ac:dyDescent="0.25">
      <c r="A32" s="121"/>
      <c r="B32" s="17"/>
      <c r="C32" s="76"/>
      <c r="D32" s="17"/>
      <c r="E32" s="12" t="s">
        <v>205</v>
      </c>
      <c r="F32" s="24"/>
      <c r="G32" s="23">
        <v>100</v>
      </c>
      <c r="H32" s="47">
        <f t="shared" si="0"/>
        <v>7214</v>
      </c>
    </row>
    <row r="33" spans="1:8" s="15" customFormat="1" x14ac:dyDescent="0.25">
      <c r="A33" s="121"/>
      <c r="B33" s="17"/>
      <c r="C33" s="76"/>
      <c r="D33" s="17"/>
      <c r="E33" s="12" t="s">
        <v>206</v>
      </c>
      <c r="F33" s="24"/>
      <c r="G33" s="23">
        <v>75</v>
      </c>
      <c r="H33" s="47">
        <f t="shared" si="0"/>
        <v>7139</v>
      </c>
    </row>
    <row r="34" spans="1:8" s="15" customFormat="1" x14ac:dyDescent="0.25">
      <c r="A34" s="122"/>
      <c r="B34" s="17"/>
      <c r="C34" s="76"/>
      <c r="D34" s="17"/>
      <c r="E34" s="12" t="s">
        <v>207</v>
      </c>
      <c r="F34" s="24"/>
      <c r="G34" s="23">
        <v>150</v>
      </c>
      <c r="H34" s="47">
        <f t="shared" si="0"/>
        <v>6989</v>
      </c>
    </row>
    <row r="35" spans="1:8" s="15" customFormat="1" x14ac:dyDescent="0.25">
      <c r="A35" s="120">
        <v>46095</v>
      </c>
      <c r="B35" s="17"/>
      <c r="C35" s="76"/>
      <c r="D35" s="17"/>
      <c r="E35" s="12" t="s">
        <v>208</v>
      </c>
      <c r="F35" s="24"/>
      <c r="G35" s="23">
        <v>499</v>
      </c>
      <c r="H35" s="47">
        <f t="shared" si="0"/>
        <v>6490</v>
      </c>
    </row>
    <row r="36" spans="1:8" s="15" customFormat="1" x14ac:dyDescent="0.25">
      <c r="A36" s="121"/>
      <c r="B36" s="17"/>
      <c r="C36" s="76"/>
      <c r="D36" s="17"/>
      <c r="E36" s="12" t="s">
        <v>209</v>
      </c>
      <c r="F36" s="24"/>
      <c r="G36" s="23">
        <v>70</v>
      </c>
      <c r="H36" s="47">
        <f t="shared" si="0"/>
        <v>6420</v>
      </c>
    </row>
    <row r="37" spans="1:8" s="15" customFormat="1" x14ac:dyDescent="0.25">
      <c r="A37" s="121"/>
      <c r="B37" s="17"/>
      <c r="C37" s="76"/>
      <c r="D37" s="17"/>
      <c r="E37" s="12" t="s">
        <v>210</v>
      </c>
      <c r="F37" s="24"/>
      <c r="G37" s="23">
        <v>300</v>
      </c>
      <c r="H37" s="47">
        <f t="shared" si="0"/>
        <v>6120</v>
      </c>
    </row>
    <row r="38" spans="1:8" s="15" customFormat="1" x14ac:dyDescent="0.25">
      <c r="A38" s="122"/>
      <c r="B38" s="17"/>
      <c r="C38" s="76"/>
      <c r="D38" s="17"/>
      <c r="E38" s="12" t="s">
        <v>211</v>
      </c>
      <c r="F38" s="24"/>
      <c r="G38" s="23">
        <v>80</v>
      </c>
      <c r="H38" s="47">
        <f t="shared" si="0"/>
        <v>6040</v>
      </c>
    </row>
    <row r="39" spans="1:8" x14ac:dyDescent="0.2">
      <c r="A39" s="120">
        <v>46097</v>
      </c>
      <c r="B39" s="25"/>
      <c r="C39" s="77"/>
      <c r="D39" s="11"/>
      <c r="E39" s="12" t="s">
        <v>212</v>
      </c>
      <c r="F39" s="24"/>
      <c r="G39" s="23">
        <v>150</v>
      </c>
      <c r="H39" s="47">
        <f t="shared" si="0"/>
        <v>5890</v>
      </c>
    </row>
    <row r="40" spans="1:8" x14ac:dyDescent="0.2">
      <c r="A40" s="121"/>
      <c r="B40" s="18"/>
      <c r="C40" s="76"/>
      <c r="D40" s="17"/>
      <c r="E40" s="12" t="s">
        <v>213</v>
      </c>
      <c r="F40" s="24"/>
      <c r="G40" s="23">
        <v>400</v>
      </c>
      <c r="H40" s="47">
        <f t="shared" si="0"/>
        <v>5490</v>
      </c>
    </row>
    <row r="41" spans="1:8" x14ac:dyDescent="0.2">
      <c r="A41" s="121"/>
      <c r="B41" s="25"/>
      <c r="C41" s="77"/>
      <c r="D41" s="11"/>
      <c r="E41" s="12" t="s">
        <v>214</v>
      </c>
      <c r="F41" s="24"/>
      <c r="G41" s="23">
        <v>140</v>
      </c>
      <c r="H41" s="47">
        <f t="shared" si="0"/>
        <v>5350</v>
      </c>
    </row>
    <row r="42" spans="1:8" x14ac:dyDescent="0.2">
      <c r="A42" s="121"/>
      <c r="B42" s="25"/>
      <c r="C42" s="77"/>
      <c r="D42" s="11"/>
      <c r="E42" s="12" t="s">
        <v>215</v>
      </c>
      <c r="F42" s="24"/>
      <c r="G42" s="23">
        <v>380</v>
      </c>
      <c r="H42" s="47">
        <f t="shared" si="0"/>
        <v>4970</v>
      </c>
    </row>
    <row r="43" spans="1:8" x14ac:dyDescent="0.2">
      <c r="A43" s="121"/>
      <c r="B43" s="25"/>
      <c r="C43" s="77"/>
      <c r="D43" s="11"/>
      <c r="E43" s="12" t="s">
        <v>216</v>
      </c>
      <c r="F43" s="24"/>
      <c r="G43" s="23">
        <v>400</v>
      </c>
      <c r="H43" s="47">
        <f t="shared" si="0"/>
        <v>4570</v>
      </c>
    </row>
    <row r="44" spans="1:8" x14ac:dyDescent="0.2">
      <c r="A44" s="121"/>
      <c r="B44" s="17"/>
      <c r="C44" s="76"/>
      <c r="D44" s="17"/>
      <c r="E44" s="12" t="s">
        <v>218</v>
      </c>
      <c r="F44" s="24"/>
      <c r="G44" s="23">
        <v>450</v>
      </c>
      <c r="H44" s="47">
        <f t="shared" si="0"/>
        <v>4120</v>
      </c>
    </row>
    <row r="45" spans="1:8" x14ac:dyDescent="0.2">
      <c r="A45" s="121"/>
      <c r="B45" s="17"/>
      <c r="C45" s="76"/>
      <c r="D45" s="17"/>
      <c r="E45" s="12" t="s">
        <v>219</v>
      </c>
      <c r="F45" s="24"/>
      <c r="G45" s="23">
        <v>250</v>
      </c>
      <c r="H45" s="47">
        <f t="shared" si="0"/>
        <v>3870</v>
      </c>
    </row>
    <row r="46" spans="1:8" x14ac:dyDescent="0.2">
      <c r="A46" s="122"/>
      <c r="B46" s="17"/>
      <c r="C46" s="77"/>
      <c r="D46" s="11"/>
      <c r="E46" s="12" t="s">
        <v>217</v>
      </c>
      <c r="F46" s="24"/>
      <c r="G46" s="23">
        <v>167</v>
      </c>
      <c r="H46" s="47">
        <f t="shared" si="0"/>
        <v>3703</v>
      </c>
    </row>
    <row r="47" spans="1:8" x14ac:dyDescent="0.2">
      <c r="A47" s="120">
        <v>46098</v>
      </c>
      <c r="B47" s="17"/>
      <c r="C47" s="77"/>
      <c r="D47" s="11"/>
      <c r="E47" s="12" t="s">
        <v>220</v>
      </c>
      <c r="F47" s="24"/>
      <c r="G47" s="23">
        <v>450</v>
      </c>
      <c r="H47" s="47">
        <f t="shared" si="0"/>
        <v>3253</v>
      </c>
    </row>
    <row r="48" spans="1:8" x14ac:dyDescent="0.2">
      <c r="A48" s="121"/>
      <c r="B48" s="18"/>
      <c r="C48" s="76"/>
      <c r="D48" s="18"/>
      <c r="E48" s="12" t="s">
        <v>221</v>
      </c>
      <c r="F48" s="24"/>
      <c r="G48" s="23">
        <v>450</v>
      </c>
      <c r="H48" s="47">
        <f t="shared" si="0"/>
        <v>2803</v>
      </c>
    </row>
    <row r="49" spans="1:8" x14ac:dyDescent="0.2">
      <c r="A49" s="121"/>
      <c r="B49" s="18"/>
      <c r="C49" s="76"/>
      <c r="D49" s="18"/>
      <c r="E49" s="12" t="s">
        <v>222</v>
      </c>
      <c r="F49" s="24"/>
      <c r="G49" s="23">
        <v>95</v>
      </c>
      <c r="H49" s="47">
        <f t="shared" si="0"/>
        <v>2708</v>
      </c>
    </row>
    <row r="50" spans="1:8" x14ac:dyDescent="0.2">
      <c r="A50" s="121"/>
      <c r="B50" s="17"/>
      <c r="C50" s="76"/>
      <c r="D50" s="18"/>
      <c r="E50" s="56" t="s">
        <v>223</v>
      </c>
      <c r="F50" s="24"/>
      <c r="G50" s="23">
        <v>386</v>
      </c>
      <c r="H50" s="47">
        <f t="shared" si="0"/>
        <v>2322</v>
      </c>
    </row>
    <row r="51" spans="1:8" x14ac:dyDescent="0.2">
      <c r="A51" s="121"/>
      <c r="B51" s="18"/>
      <c r="C51" s="76"/>
      <c r="D51" s="18"/>
      <c r="E51" s="12" t="s">
        <v>224</v>
      </c>
      <c r="F51" s="24"/>
      <c r="G51" s="23">
        <v>170</v>
      </c>
      <c r="H51" s="47">
        <f t="shared" si="0"/>
        <v>2152</v>
      </c>
    </row>
    <row r="52" spans="1:8" x14ac:dyDescent="0.2">
      <c r="A52" s="122"/>
      <c r="B52" s="18"/>
      <c r="C52" s="76"/>
      <c r="D52" s="18"/>
      <c r="E52" s="12" t="s">
        <v>225</v>
      </c>
      <c r="F52" s="24"/>
      <c r="G52" s="23">
        <v>78</v>
      </c>
      <c r="H52" s="47">
        <f t="shared" si="0"/>
        <v>2074</v>
      </c>
    </row>
    <row r="53" spans="1:8" ht="38.25" x14ac:dyDescent="0.2">
      <c r="A53" s="120">
        <v>46099</v>
      </c>
      <c r="B53" s="17" t="s">
        <v>121</v>
      </c>
      <c r="C53" s="76" t="s">
        <v>25</v>
      </c>
      <c r="D53" s="17" t="s">
        <v>120</v>
      </c>
      <c r="E53" s="12" t="s">
        <v>226</v>
      </c>
      <c r="F53" s="24">
        <v>5000</v>
      </c>
      <c r="G53" s="23">
        <v>40</v>
      </c>
      <c r="H53" s="47">
        <f t="shared" si="0"/>
        <v>7034</v>
      </c>
    </row>
    <row r="54" spans="1:8" x14ac:dyDescent="0.2">
      <c r="A54" s="121"/>
      <c r="B54" s="18"/>
      <c r="C54" s="76"/>
      <c r="D54" s="18"/>
      <c r="E54" s="12" t="s">
        <v>227</v>
      </c>
      <c r="F54" s="24"/>
      <c r="G54" s="23">
        <v>1000</v>
      </c>
      <c r="H54" s="47">
        <f t="shared" si="0"/>
        <v>6034</v>
      </c>
    </row>
    <row r="55" spans="1:8" x14ac:dyDescent="0.2">
      <c r="A55" s="121"/>
      <c r="B55" s="17"/>
      <c r="C55" s="76"/>
      <c r="D55" s="17"/>
      <c r="E55" s="12" t="s">
        <v>228</v>
      </c>
      <c r="F55" s="24"/>
      <c r="G55" s="23">
        <v>3400</v>
      </c>
      <c r="H55" s="47">
        <f t="shared" si="0"/>
        <v>2634</v>
      </c>
    </row>
    <row r="56" spans="1:8" ht="25.5" x14ac:dyDescent="0.2">
      <c r="A56" s="122"/>
      <c r="B56" s="18" t="s">
        <v>229</v>
      </c>
      <c r="C56" s="76" t="s">
        <v>145</v>
      </c>
      <c r="D56" s="17" t="s">
        <v>120</v>
      </c>
      <c r="E56" s="12" t="s">
        <v>230</v>
      </c>
      <c r="F56" s="24">
        <v>6</v>
      </c>
      <c r="G56" s="23">
        <v>340</v>
      </c>
      <c r="H56" s="47">
        <f t="shared" si="0"/>
        <v>2300</v>
      </c>
    </row>
    <row r="57" spans="1:8" ht="38.25" x14ac:dyDescent="0.2">
      <c r="A57" s="120">
        <v>46100</v>
      </c>
      <c r="B57" s="17" t="s">
        <v>121</v>
      </c>
      <c r="C57" s="76" t="s">
        <v>25</v>
      </c>
      <c r="D57" s="17" t="s">
        <v>120</v>
      </c>
      <c r="E57" s="12" t="s">
        <v>231</v>
      </c>
      <c r="F57" s="24">
        <v>5000</v>
      </c>
      <c r="G57" s="23">
        <v>650</v>
      </c>
      <c r="H57" s="47">
        <f t="shared" si="0"/>
        <v>6650</v>
      </c>
    </row>
    <row r="58" spans="1:8" x14ac:dyDescent="0.2">
      <c r="A58" s="122"/>
      <c r="B58" s="18"/>
      <c r="C58" s="76"/>
      <c r="D58" s="18"/>
      <c r="E58" s="12" t="s">
        <v>232</v>
      </c>
      <c r="F58" s="24"/>
      <c r="G58" s="23">
        <v>195</v>
      </c>
      <c r="H58" s="47">
        <f t="shared" si="0"/>
        <v>6455</v>
      </c>
    </row>
    <row r="59" spans="1:8" x14ac:dyDescent="0.2">
      <c r="A59" s="120">
        <v>46101</v>
      </c>
      <c r="B59" s="18"/>
      <c r="C59" s="76"/>
      <c r="D59" s="18"/>
      <c r="E59" s="12" t="s">
        <v>194</v>
      </c>
      <c r="F59" s="24"/>
      <c r="G59" s="23">
        <v>928</v>
      </c>
      <c r="H59" s="47">
        <f t="shared" si="0"/>
        <v>5527</v>
      </c>
    </row>
    <row r="60" spans="1:8" x14ac:dyDescent="0.2">
      <c r="A60" s="122"/>
      <c r="B60" s="18"/>
      <c r="C60" s="76"/>
      <c r="D60" s="18"/>
      <c r="E60" s="12" t="s">
        <v>233</v>
      </c>
      <c r="F60" s="24"/>
      <c r="G60" s="23">
        <v>420</v>
      </c>
      <c r="H60" s="47">
        <f t="shared" si="0"/>
        <v>5107</v>
      </c>
    </row>
    <row r="61" spans="1:8" x14ac:dyDescent="0.2">
      <c r="A61" s="120">
        <v>46102</v>
      </c>
      <c r="B61" s="10"/>
      <c r="C61" s="78"/>
      <c r="D61" s="10"/>
      <c r="E61" s="12" t="s">
        <v>234</v>
      </c>
      <c r="F61" s="24"/>
      <c r="G61" s="23">
        <v>650</v>
      </c>
      <c r="H61" s="47">
        <f t="shared" si="0"/>
        <v>4457</v>
      </c>
    </row>
    <row r="62" spans="1:8" x14ac:dyDescent="0.2">
      <c r="A62" s="121"/>
      <c r="B62" s="10"/>
      <c r="C62" s="78"/>
      <c r="D62" s="10"/>
      <c r="E62" s="11" t="s">
        <v>235</v>
      </c>
      <c r="F62" s="24"/>
      <c r="G62" s="23">
        <v>120</v>
      </c>
      <c r="H62" s="47">
        <f t="shared" si="0"/>
        <v>4337</v>
      </c>
    </row>
    <row r="63" spans="1:8" x14ac:dyDescent="0.2">
      <c r="A63" s="122"/>
      <c r="B63" s="10"/>
      <c r="C63" s="78"/>
      <c r="D63" s="10"/>
      <c r="E63" s="11" t="s">
        <v>236</v>
      </c>
      <c r="F63" s="24"/>
      <c r="G63" s="23">
        <v>1260</v>
      </c>
      <c r="H63" s="47">
        <f t="shared" si="0"/>
        <v>3077</v>
      </c>
    </row>
    <row r="64" spans="1:8" x14ac:dyDescent="0.2">
      <c r="A64" s="82">
        <v>46103</v>
      </c>
      <c r="B64" s="10"/>
      <c r="C64" s="78"/>
      <c r="D64" s="10"/>
      <c r="E64" s="11" t="s">
        <v>238</v>
      </c>
      <c r="F64" s="24"/>
      <c r="G64" s="23">
        <v>64</v>
      </c>
      <c r="H64" s="47">
        <f t="shared" si="0"/>
        <v>3013</v>
      </c>
    </row>
    <row r="65" spans="1:9" x14ac:dyDescent="0.2">
      <c r="A65" s="120">
        <v>46104</v>
      </c>
      <c r="B65" s="10"/>
      <c r="C65" s="78"/>
      <c r="D65" s="10"/>
      <c r="E65" s="11" t="s">
        <v>239</v>
      </c>
      <c r="F65" s="24"/>
      <c r="G65" s="23">
        <v>90</v>
      </c>
      <c r="H65" s="47">
        <f t="shared" si="0"/>
        <v>2923</v>
      </c>
    </row>
    <row r="66" spans="1:9" x14ac:dyDescent="0.2">
      <c r="A66" s="121"/>
      <c r="B66" s="18"/>
      <c r="C66" s="76"/>
      <c r="D66" s="18"/>
      <c r="E66" s="11" t="s">
        <v>240</v>
      </c>
      <c r="F66" s="24"/>
      <c r="G66" s="23">
        <v>160</v>
      </c>
      <c r="H66" s="47">
        <f t="shared" si="0"/>
        <v>2763</v>
      </c>
    </row>
    <row r="67" spans="1:9" x14ac:dyDescent="0.2">
      <c r="A67" s="122"/>
      <c r="B67" s="18"/>
      <c r="C67" s="76"/>
      <c r="D67" s="18"/>
      <c r="E67" s="12" t="s">
        <v>241</v>
      </c>
      <c r="F67" s="24"/>
      <c r="G67" s="23">
        <v>450</v>
      </c>
      <c r="H67" s="47">
        <f t="shared" si="0"/>
        <v>2313</v>
      </c>
    </row>
    <row r="68" spans="1:9" x14ac:dyDescent="0.2">
      <c r="A68" s="120">
        <v>46105</v>
      </c>
      <c r="B68" s="18"/>
      <c r="C68" s="76"/>
      <c r="D68" s="18"/>
      <c r="E68" s="11" t="s">
        <v>237</v>
      </c>
      <c r="F68" s="24"/>
      <c r="G68" s="23">
        <v>114</v>
      </c>
      <c r="H68" s="47">
        <f t="shared" si="0"/>
        <v>2199</v>
      </c>
    </row>
    <row r="69" spans="1:9" x14ac:dyDescent="0.2">
      <c r="A69" s="121"/>
      <c r="B69" s="18"/>
      <c r="C69" s="76"/>
      <c r="D69" s="18"/>
      <c r="E69" s="11" t="s">
        <v>242</v>
      </c>
      <c r="F69" s="24"/>
      <c r="G69" s="23">
        <v>170</v>
      </c>
      <c r="H69" s="47">
        <f t="shared" ref="H69:H112" si="1">H68+F69-G69</f>
        <v>2029</v>
      </c>
    </row>
    <row r="70" spans="1:9" x14ac:dyDescent="0.2">
      <c r="A70" s="122"/>
      <c r="B70" s="18"/>
      <c r="C70" s="76"/>
      <c r="D70" s="18"/>
      <c r="E70" s="11" t="s">
        <v>243</v>
      </c>
      <c r="F70" s="24"/>
      <c r="G70" s="23">
        <v>250</v>
      </c>
      <c r="H70" s="47">
        <f t="shared" si="1"/>
        <v>1779</v>
      </c>
    </row>
    <row r="71" spans="1:9" x14ac:dyDescent="0.2">
      <c r="A71" s="120">
        <v>46106</v>
      </c>
      <c r="B71" s="18"/>
      <c r="C71" s="76"/>
      <c r="D71" s="18"/>
      <c r="E71" s="11" t="s">
        <v>244</v>
      </c>
      <c r="F71" s="24"/>
      <c r="G71" s="23">
        <v>180</v>
      </c>
      <c r="H71" s="47">
        <f t="shared" si="1"/>
        <v>1599</v>
      </c>
    </row>
    <row r="72" spans="1:9" ht="15" customHeight="1" x14ac:dyDescent="0.2">
      <c r="A72" s="121"/>
      <c r="B72" s="18"/>
      <c r="C72" s="76"/>
      <c r="D72" s="18"/>
      <c r="E72" s="11" t="s">
        <v>245</v>
      </c>
      <c r="F72" s="24"/>
      <c r="G72" s="23">
        <v>280</v>
      </c>
      <c r="H72" s="47">
        <f t="shared" si="1"/>
        <v>1319</v>
      </c>
    </row>
    <row r="73" spans="1:9" ht="15" customHeight="1" x14ac:dyDescent="0.2">
      <c r="A73" s="121"/>
      <c r="B73" s="17"/>
      <c r="C73" s="76"/>
      <c r="D73" s="17"/>
      <c r="E73" s="11" t="s">
        <v>246</v>
      </c>
      <c r="F73" s="24"/>
      <c r="G73" s="23">
        <v>110</v>
      </c>
      <c r="H73" s="47">
        <f t="shared" si="1"/>
        <v>1209</v>
      </c>
    </row>
    <row r="74" spans="1:9" ht="15" customHeight="1" x14ac:dyDescent="0.2">
      <c r="A74" s="121"/>
      <c r="B74" s="18"/>
      <c r="C74" s="76"/>
      <c r="D74" s="18"/>
      <c r="E74" s="12" t="s">
        <v>239</v>
      </c>
      <c r="F74" s="24"/>
      <c r="G74" s="23">
        <v>250</v>
      </c>
      <c r="H74" s="47">
        <f t="shared" si="1"/>
        <v>959</v>
      </c>
    </row>
    <row r="75" spans="1:9" ht="15" customHeight="1" x14ac:dyDescent="0.2">
      <c r="A75" s="121"/>
      <c r="B75" s="18"/>
      <c r="C75" s="76"/>
      <c r="D75" s="18"/>
      <c r="E75" s="11" t="s">
        <v>247</v>
      </c>
      <c r="F75" s="24"/>
      <c r="G75" s="23">
        <v>370</v>
      </c>
      <c r="H75" s="47">
        <f t="shared" si="1"/>
        <v>589</v>
      </c>
    </row>
    <row r="76" spans="1:9" ht="15" customHeight="1" x14ac:dyDescent="0.2">
      <c r="A76" s="121"/>
      <c r="B76" s="18"/>
      <c r="C76" s="76"/>
      <c r="D76" s="18"/>
      <c r="E76" s="11" t="s">
        <v>248</v>
      </c>
      <c r="F76" s="24"/>
      <c r="G76" s="23">
        <v>90</v>
      </c>
      <c r="H76" s="47">
        <f t="shared" si="1"/>
        <v>499</v>
      </c>
    </row>
    <row r="77" spans="1:9" ht="15" customHeight="1" thickBot="1" x14ac:dyDescent="0.25">
      <c r="A77" s="121"/>
      <c r="B77" s="84"/>
      <c r="C77" s="85"/>
      <c r="D77" s="84"/>
      <c r="E77" s="52" t="s">
        <v>249</v>
      </c>
      <c r="F77" s="75"/>
      <c r="G77" s="54">
        <v>200</v>
      </c>
      <c r="H77" s="55">
        <f>H75+F77-G77</f>
        <v>389</v>
      </c>
    </row>
    <row r="78" spans="1:9" ht="16.5" thickBot="1" x14ac:dyDescent="0.25">
      <c r="A78" s="128"/>
      <c r="B78" s="51"/>
      <c r="C78" s="79"/>
      <c r="D78" s="51"/>
      <c r="E78" s="52" t="s">
        <v>263</v>
      </c>
      <c r="F78" s="75"/>
      <c r="G78" s="54">
        <v>280</v>
      </c>
      <c r="H78" s="55">
        <f>H76+F78-G78</f>
        <v>219</v>
      </c>
      <c r="I78" s="119" t="s">
        <v>9</v>
      </c>
    </row>
    <row r="79" spans="1:9" ht="15.75" x14ac:dyDescent="0.2">
      <c r="A79" s="82">
        <v>46108</v>
      </c>
      <c r="B79" s="59"/>
      <c r="C79" s="80"/>
      <c r="D79" s="59"/>
      <c r="E79" s="7" t="s">
        <v>250</v>
      </c>
      <c r="F79" s="68"/>
      <c r="G79" s="61">
        <v>1000</v>
      </c>
      <c r="H79" s="60">
        <f>H78+F79-G79</f>
        <v>-781</v>
      </c>
      <c r="I79" s="129"/>
    </row>
    <row r="80" spans="1:9" x14ac:dyDescent="0.2">
      <c r="A80" s="82">
        <v>46109</v>
      </c>
      <c r="B80" s="18"/>
      <c r="C80" s="76"/>
      <c r="D80" s="18"/>
      <c r="E80" s="11" t="s">
        <v>251</v>
      </c>
      <c r="F80" s="24"/>
      <c r="G80" s="23">
        <v>450</v>
      </c>
      <c r="H80" s="24">
        <f t="shared" si="1"/>
        <v>-1231</v>
      </c>
    </row>
    <row r="81" spans="1:8" x14ac:dyDescent="0.2">
      <c r="A81" s="120">
        <v>46111</v>
      </c>
      <c r="B81" s="18"/>
      <c r="C81" s="76"/>
      <c r="D81" s="18"/>
      <c r="E81" s="11" t="s">
        <v>252</v>
      </c>
      <c r="F81" s="24"/>
      <c r="G81" s="23">
        <v>330</v>
      </c>
      <c r="H81" s="24">
        <f t="shared" si="1"/>
        <v>-1561</v>
      </c>
    </row>
    <row r="82" spans="1:8" x14ac:dyDescent="0.2">
      <c r="A82" s="121"/>
      <c r="B82" s="18"/>
      <c r="C82" s="76"/>
      <c r="D82" s="18"/>
      <c r="E82" s="11" t="s">
        <v>253</v>
      </c>
      <c r="F82" s="24"/>
      <c r="G82" s="23">
        <v>170</v>
      </c>
      <c r="H82" s="24">
        <f t="shared" si="1"/>
        <v>-1731</v>
      </c>
    </row>
    <row r="83" spans="1:8" x14ac:dyDescent="0.2">
      <c r="A83" s="122"/>
      <c r="B83" s="18"/>
      <c r="C83" s="76"/>
      <c r="D83" s="18"/>
      <c r="E83" s="11" t="s">
        <v>254</v>
      </c>
      <c r="F83" s="24"/>
      <c r="G83" s="23">
        <v>370</v>
      </c>
      <c r="H83" s="24">
        <f t="shared" si="1"/>
        <v>-2101</v>
      </c>
    </row>
    <row r="84" spans="1:8" x14ac:dyDescent="0.2">
      <c r="A84" s="82">
        <v>46112</v>
      </c>
      <c r="B84" s="18"/>
      <c r="C84" s="76"/>
      <c r="D84" s="18"/>
      <c r="E84" s="11" t="s">
        <v>255</v>
      </c>
      <c r="F84" s="24"/>
      <c r="G84" s="23">
        <v>330</v>
      </c>
      <c r="H84" s="24">
        <f t="shared" si="1"/>
        <v>-2431</v>
      </c>
    </row>
    <row r="85" spans="1:8" x14ac:dyDescent="0.2">
      <c r="A85" s="20"/>
      <c r="B85" s="18"/>
      <c r="C85" s="76"/>
      <c r="D85" s="18"/>
      <c r="E85" s="11" t="s">
        <v>256</v>
      </c>
      <c r="F85" s="24"/>
      <c r="G85" s="23">
        <v>177</v>
      </c>
      <c r="H85" s="24">
        <f t="shared" si="1"/>
        <v>-2608</v>
      </c>
    </row>
    <row r="86" spans="1:8" x14ac:dyDescent="0.2">
      <c r="A86" s="20"/>
      <c r="B86" s="18"/>
      <c r="C86" s="76"/>
      <c r="D86" s="18"/>
      <c r="E86" s="11" t="s">
        <v>257</v>
      </c>
      <c r="F86" s="24"/>
      <c r="G86" s="23">
        <v>80</v>
      </c>
      <c r="H86" s="24">
        <f t="shared" si="1"/>
        <v>-2688</v>
      </c>
    </row>
    <row r="87" spans="1:8" x14ac:dyDescent="0.2">
      <c r="A87" s="20"/>
      <c r="B87" s="18"/>
      <c r="C87" s="76"/>
      <c r="D87" s="18"/>
      <c r="E87" s="11" t="s">
        <v>257</v>
      </c>
      <c r="F87" s="24"/>
      <c r="G87" s="23">
        <v>10</v>
      </c>
      <c r="H87" s="24">
        <f t="shared" si="1"/>
        <v>-2698</v>
      </c>
    </row>
    <row r="88" spans="1:8" x14ac:dyDescent="0.2">
      <c r="A88" s="20"/>
      <c r="B88" s="18"/>
      <c r="C88" s="76"/>
      <c r="D88" s="18"/>
      <c r="E88" s="11" t="s">
        <v>258</v>
      </c>
      <c r="F88" s="24"/>
      <c r="G88" s="23">
        <v>33</v>
      </c>
      <c r="H88" s="24">
        <f t="shared" si="1"/>
        <v>-2731</v>
      </c>
    </row>
    <row r="89" spans="1:8" x14ac:dyDescent="0.2">
      <c r="A89" s="20"/>
      <c r="B89" s="18"/>
      <c r="C89" s="76"/>
      <c r="D89" s="18"/>
      <c r="E89" s="11"/>
      <c r="F89" s="24"/>
      <c r="G89" s="23"/>
      <c r="H89" s="24">
        <f t="shared" si="1"/>
        <v>-2731</v>
      </c>
    </row>
    <row r="90" spans="1:8" x14ac:dyDescent="0.2">
      <c r="A90" s="20"/>
      <c r="B90" s="18"/>
      <c r="C90" s="76"/>
      <c r="D90" s="18"/>
      <c r="E90" s="11"/>
      <c r="F90" s="24"/>
      <c r="G90" s="23"/>
      <c r="H90" s="24">
        <f t="shared" si="1"/>
        <v>-2731</v>
      </c>
    </row>
    <row r="91" spans="1:8" x14ac:dyDescent="0.2">
      <c r="A91" s="20"/>
      <c r="B91" s="18"/>
      <c r="C91" s="76"/>
      <c r="D91" s="18"/>
      <c r="E91" s="11"/>
      <c r="F91" s="24"/>
      <c r="G91" s="23"/>
      <c r="H91" s="24">
        <f t="shared" si="1"/>
        <v>-2731</v>
      </c>
    </row>
    <row r="92" spans="1:8" x14ac:dyDescent="0.2">
      <c r="A92" s="20"/>
      <c r="B92" s="18"/>
      <c r="C92" s="76"/>
      <c r="D92" s="18"/>
      <c r="E92" s="11"/>
      <c r="F92" s="24"/>
      <c r="G92" s="23"/>
      <c r="H92" s="24">
        <f t="shared" si="1"/>
        <v>-2731</v>
      </c>
    </row>
    <row r="93" spans="1:8" x14ac:dyDescent="0.2">
      <c r="A93" s="20"/>
      <c r="B93" s="18"/>
      <c r="C93" s="76"/>
      <c r="D93" s="18"/>
      <c r="E93" s="11"/>
      <c r="F93" s="24"/>
      <c r="G93" s="23"/>
      <c r="H93" s="24">
        <f t="shared" si="1"/>
        <v>-2731</v>
      </c>
    </row>
    <row r="94" spans="1:8" x14ac:dyDescent="0.2">
      <c r="A94" s="20"/>
      <c r="B94" s="18"/>
      <c r="C94" s="76"/>
      <c r="D94" s="18"/>
      <c r="E94" s="11"/>
      <c r="F94" s="24"/>
      <c r="G94" s="23"/>
      <c r="H94" s="24">
        <f t="shared" si="1"/>
        <v>-2731</v>
      </c>
    </row>
    <row r="95" spans="1:8" x14ac:dyDescent="0.2">
      <c r="A95" s="20"/>
      <c r="B95" s="18"/>
      <c r="C95" s="76"/>
      <c r="D95" s="18"/>
      <c r="E95" s="11"/>
      <c r="F95" s="24"/>
      <c r="G95" s="23"/>
      <c r="H95" s="24">
        <f t="shared" si="1"/>
        <v>-2731</v>
      </c>
    </row>
    <row r="96" spans="1:8" x14ac:dyDescent="0.2">
      <c r="A96" s="20"/>
      <c r="B96" s="18"/>
      <c r="C96" s="76"/>
      <c r="D96" s="18"/>
      <c r="E96" s="11"/>
      <c r="F96" s="24"/>
      <c r="G96" s="23"/>
      <c r="H96" s="24">
        <f t="shared" si="1"/>
        <v>-2731</v>
      </c>
    </row>
    <row r="97" spans="1:8" x14ac:dyDescent="0.2">
      <c r="A97" s="20"/>
      <c r="B97" s="18"/>
      <c r="C97" s="76"/>
      <c r="D97" s="18"/>
      <c r="E97" s="11"/>
      <c r="F97" s="24"/>
      <c r="G97" s="23"/>
      <c r="H97" s="24">
        <f t="shared" si="1"/>
        <v>-2731</v>
      </c>
    </row>
    <row r="98" spans="1:8" x14ac:dyDescent="0.2">
      <c r="A98" s="20"/>
      <c r="B98" s="18"/>
      <c r="C98" s="76"/>
      <c r="D98" s="18"/>
      <c r="E98" s="11"/>
      <c r="F98" s="24"/>
      <c r="G98" s="23"/>
      <c r="H98" s="24">
        <f t="shared" si="1"/>
        <v>-2731</v>
      </c>
    </row>
    <row r="99" spans="1:8" x14ac:dyDescent="0.2">
      <c r="A99" s="20"/>
      <c r="B99" s="18"/>
      <c r="C99" s="76"/>
      <c r="D99" s="18"/>
      <c r="E99" s="11"/>
      <c r="F99" s="24"/>
      <c r="G99" s="23"/>
      <c r="H99" s="24">
        <f t="shared" si="1"/>
        <v>-2731</v>
      </c>
    </row>
    <row r="100" spans="1:8" x14ac:dyDescent="0.2">
      <c r="A100" s="20"/>
      <c r="B100" s="18"/>
      <c r="C100" s="76"/>
      <c r="D100" s="18"/>
      <c r="E100" s="11"/>
      <c r="F100" s="24"/>
      <c r="G100" s="23"/>
      <c r="H100" s="24">
        <f t="shared" si="1"/>
        <v>-2731</v>
      </c>
    </row>
    <row r="101" spans="1:8" x14ac:dyDescent="0.2">
      <c r="A101" s="20"/>
      <c r="B101" s="18"/>
      <c r="C101" s="76"/>
      <c r="D101" s="18"/>
      <c r="E101" s="11"/>
      <c r="F101" s="24"/>
      <c r="G101" s="23"/>
      <c r="H101" s="24">
        <f t="shared" si="1"/>
        <v>-2731</v>
      </c>
    </row>
    <row r="102" spans="1:8" x14ac:dyDescent="0.2">
      <c r="A102" s="20"/>
      <c r="B102" s="18"/>
      <c r="C102" s="76"/>
      <c r="D102" s="18"/>
      <c r="E102" s="11"/>
      <c r="F102" s="24"/>
      <c r="G102" s="23"/>
      <c r="H102" s="24">
        <f t="shared" si="1"/>
        <v>-2731</v>
      </c>
    </row>
    <row r="103" spans="1:8" x14ac:dyDescent="0.2">
      <c r="A103" s="20"/>
      <c r="B103" s="18"/>
      <c r="C103" s="76"/>
      <c r="D103" s="18"/>
      <c r="E103" s="11"/>
      <c r="F103" s="24"/>
      <c r="G103" s="23"/>
      <c r="H103" s="24">
        <f t="shared" si="1"/>
        <v>-2731</v>
      </c>
    </row>
    <row r="104" spans="1:8" x14ac:dyDescent="0.2">
      <c r="A104" s="20"/>
      <c r="B104" s="18"/>
      <c r="C104" s="76"/>
      <c r="D104" s="18"/>
      <c r="E104" s="11"/>
      <c r="F104" s="24"/>
      <c r="G104" s="23"/>
      <c r="H104" s="24">
        <f t="shared" si="1"/>
        <v>-2731</v>
      </c>
    </row>
    <row r="105" spans="1:8" x14ac:dyDescent="0.2">
      <c r="A105" s="20"/>
      <c r="B105" s="18"/>
      <c r="C105" s="76"/>
      <c r="D105" s="18"/>
      <c r="E105" s="11"/>
      <c r="F105" s="24"/>
      <c r="G105" s="23"/>
      <c r="H105" s="24">
        <f t="shared" si="1"/>
        <v>-2731</v>
      </c>
    </row>
    <row r="106" spans="1:8" x14ac:dyDescent="0.2">
      <c r="A106" s="20"/>
      <c r="B106" s="18"/>
      <c r="C106" s="76"/>
      <c r="D106" s="18"/>
      <c r="E106" s="11"/>
      <c r="F106" s="24"/>
      <c r="G106" s="23"/>
      <c r="H106" s="24">
        <f t="shared" si="1"/>
        <v>-2731</v>
      </c>
    </row>
    <row r="107" spans="1:8" x14ac:dyDescent="0.2">
      <c r="A107" s="20"/>
      <c r="B107" s="18"/>
      <c r="C107" s="76"/>
      <c r="D107" s="18"/>
      <c r="E107" s="11"/>
      <c r="F107" s="24"/>
      <c r="G107" s="23"/>
      <c r="H107" s="24">
        <f t="shared" si="1"/>
        <v>-2731</v>
      </c>
    </row>
    <row r="108" spans="1:8" x14ac:dyDescent="0.2">
      <c r="A108" s="20"/>
      <c r="B108" s="18"/>
      <c r="C108" s="76"/>
      <c r="D108" s="18"/>
      <c r="E108" s="11"/>
      <c r="F108" s="24"/>
      <c r="G108" s="23"/>
      <c r="H108" s="24">
        <f t="shared" si="1"/>
        <v>-2731</v>
      </c>
    </row>
    <row r="109" spans="1:8" x14ac:dyDescent="0.2">
      <c r="A109" s="20"/>
      <c r="B109" s="18"/>
      <c r="C109" s="76"/>
      <c r="D109" s="18"/>
      <c r="E109" s="11"/>
      <c r="F109" s="24"/>
      <c r="G109" s="23"/>
      <c r="H109" s="24">
        <f t="shared" si="1"/>
        <v>-2731</v>
      </c>
    </row>
    <row r="110" spans="1:8" x14ac:dyDescent="0.2">
      <c r="A110" s="21"/>
      <c r="B110" s="18"/>
      <c r="C110" s="76"/>
      <c r="D110" s="18"/>
      <c r="E110" s="11"/>
      <c r="F110" s="24"/>
      <c r="G110" s="23"/>
      <c r="H110" s="24">
        <f t="shared" si="1"/>
        <v>-2731</v>
      </c>
    </row>
    <row r="111" spans="1:8" x14ac:dyDescent="0.2">
      <c r="A111" s="21"/>
      <c r="B111" s="18"/>
      <c r="C111" s="76"/>
      <c r="D111" s="18"/>
      <c r="E111" s="11"/>
      <c r="F111" s="24"/>
      <c r="G111" s="23"/>
      <c r="H111" s="24">
        <f t="shared" si="1"/>
        <v>-2731</v>
      </c>
    </row>
    <row r="112" spans="1:8" x14ac:dyDescent="0.2">
      <c r="A112" s="21"/>
      <c r="B112" s="18"/>
      <c r="C112" s="76"/>
      <c r="D112" s="18"/>
      <c r="E112" s="11"/>
      <c r="F112" s="24"/>
      <c r="G112" s="23"/>
      <c r="H112" s="24">
        <f t="shared" si="1"/>
        <v>-2731</v>
      </c>
    </row>
  </sheetData>
  <mergeCells count="17">
    <mergeCell ref="A59:A60"/>
    <mergeCell ref="A61:A63"/>
    <mergeCell ref="A35:A38"/>
    <mergeCell ref="A39:A46"/>
    <mergeCell ref="A47:A52"/>
    <mergeCell ref="A53:A56"/>
    <mergeCell ref="A57:A58"/>
    <mergeCell ref="A1:H1"/>
    <mergeCell ref="A7:A10"/>
    <mergeCell ref="A14:A18"/>
    <mergeCell ref="A20:A23"/>
    <mergeCell ref="A25:A34"/>
    <mergeCell ref="A65:A67"/>
    <mergeCell ref="A68:A70"/>
    <mergeCell ref="A71:A78"/>
    <mergeCell ref="A81:A83"/>
    <mergeCell ref="I78:I79"/>
  </mergeCells>
  <pageMargins left="0.7" right="0.7" top="0.75" bottom="0.75" header="0.3" footer="0.3"/>
  <pageSetup paperSize="9" scale="63" fitToHeight="0" orientation="landscape" r:id="rId1"/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2AAE-1BD7-400D-A761-4D5DA9FAB287}">
  <sheetPr codeName="Sheet3">
    <tabColor rgb="FF92D050"/>
    <pageSetUpPr fitToPage="1"/>
  </sheetPr>
  <dimension ref="A1:T113"/>
  <sheetViews>
    <sheetView tabSelected="1" view="pageBreakPreview" zoomScaleNormal="100" zoomScaleSheetLayoutView="100" workbookViewId="0">
      <pane ySplit="2" topLeftCell="A60" activePane="bottomLeft" state="frozen"/>
      <selection activeCell="C1" sqref="C1"/>
      <selection pane="bottomLeft" activeCell="G77" sqref="G77"/>
    </sheetView>
  </sheetViews>
  <sheetFormatPr defaultColWidth="8.85546875" defaultRowHeight="12.75" x14ac:dyDescent="0.2"/>
  <cols>
    <col min="1" max="1" width="9.85546875" style="19" customWidth="1"/>
    <col min="2" max="2" width="11.42578125" style="16" bestFit="1" customWidth="1"/>
    <col min="3" max="3" width="16" style="81" bestFit="1" customWidth="1"/>
    <col min="4" max="4" width="15" style="1" bestFit="1" customWidth="1"/>
    <col min="5" max="5" width="45.42578125" style="93" customWidth="1"/>
    <col min="6" max="6" width="8.7109375" style="1" bestFit="1" customWidth="1"/>
    <col min="7" max="7" width="8.5703125" style="1" bestFit="1" customWidth="1"/>
    <col min="8" max="8" width="10.28515625" style="1" bestFit="1" customWidth="1"/>
    <col min="9" max="9" width="7.140625" style="1" customWidth="1"/>
    <col min="10" max="10" width="12.140625" style="93" customWidth="1"/>
    <col min="11" max="11" width="13.7109375" style="93" bestFit="1" customWidth="1"/>
    <col min="12" max="12" width="11" style="93" bestFit="1" customWidth="1"/>
    <col min="13" max="13" width="20.28515625" style="1" customWidth="1"/>
    <col min="14" max="14" width="13.140625" style="1" bestFit="1" customWidth="1"/>
    <col min="15" max="15" width="17.7109375" style="81" customWidth="1"/>
    <col min="16" max="16" width="20.28515625" style="1" customWidth="1"/>
    <col min="17" max="17" width="16" style="1" customWidth="1"/>
    <col min="18" max="18" width="17.7109375" style="81" customWidth="1"/>
    <col min="19" max="19" width="20.28515625" style="1" customWidth="1"/>
    <col min="20" max="16384" width="8.85546875" style="1"/>
  </cols>
  <sheetData>
    <row r="1" spans="1:20" ht="20.25" x14ac:dyDescent="0.3">
      <c r="A1" s="133" t="s">
        <v>259</v>
      </c>
      <c r="B1" s="133"/>
      <c r="C1" s="133"/>
      <c r="D1" s="133"/>
      <c r="E1" s="133"/>
      <c r="F1" s="133"/>
      <c r="G1" s="133"/>
      <c r="H1" s="133"/>
      <c r="J1" s="133" t="s">
        <v>259</v>
      </c>
      <c r="K1" s="133"/>
      <c r="L1" s="133"/>
      <c r="M1" s="133"/>
      <c r="N1" s="133"/>
      <c r="O1" s="133"/>
      <c r="P1" s="133"/>
      <c r="Q1" s="133"/>
      <c r="R1" s="1"/>
    </row>
    <row r="2" spans="1:20" ht="26.25" customHeight="1" x14ac:dyDescent="0.2">
      <c r="A2" s="138" t="s">
        <v>8</v>
      </c>
      <c r="B2" s="136" t="s">
        <v>3</v>
      </c>
      <c r="C2" s="136" t="s">
        <v>4</v>
      </c>
      <c r="D2" s="136" t="s">
        <v>5</v>
      </c>
      <c r="E2" s="134" t="s">
        <v>6</v>
      </c>
      <c r="F2" s="62" t="s">
        <v>0</v>
      </c>
      <c r="G2" s="62" t="s">
        <v>1</v>
      </c>
      <c r="H2" s="70" t="s">
        <v>2</v>
      </c>
      <c r="J2" s="98" t="s">
        <v>308</v>
      </c>
      <c r="K2" s="96" t="s">
        <v>307</v>
      </c>
      <c r="L2" s="94" t="s">
        <v>306</v>
      </c>
      <c r="M2" s="104" t="s">
        <v>304</v>
      </c>
      <c r="N2" s="104" t="s">
        <v>292</v>
      </c>
      <c r="O2" s="104" t="s">
        <v>302</v>
      </c>
      <c r="P2" s="105" t="s">
        <v>305</v>
      </c>
      <c r="Q2" s="103" t="s">
        <v>310</v>
      </c>
      <c r="R2" s="1"/>
    </row>
    <row r="3" spans="1:20" s="22" customFormat="1" x14ac:dyDescent="0.2">
      <c r="A3" s="139"/>
      <c r="B3" s="137"/>
      <c r="C3" s="137"/>
      <c r="D3" s="137"/>
      <c r="E3" s="135"/>
      <c r="F3" s="64">
        <f>SUM(F4:F268)</f>
        <v>41571</v>
      </c>
      <c r="G3" s="65">
        <f>SUM(G4:G268)</f>
        <v>44859</v>
      </c>
      <c r="H3" s="72">
        <f>+F3-G3</f>
        <v>-3288</v>
      </c>
      <c r="J3" s="99">
        <f>SUM(J4:J268)</f>
        <v>9200</v>
      </c>
      <c r="K3" s="97">
        <f>SUM(K4:K268)</f>
        <v>11224</v>
      </c>
      <c r="L3" s="95">
        <f>SUM(L4:L268)</f>
        <v>4760</v>
      </c>
      <c r="M3" s="110">
        <f>SUM(M4:M268)</f>
        <v>18499</v>
      </c>
      <c r="N3" s="101" t="s">
        <v>303</v>
      </c>
      <c r="O3" s="100">
        <f>SUM(O4:O268)</f>
        <v>54300</v>
      </c>
      <c r="P3" s="100">
        <f>O3-M3</f>
        <v>35801</v>
      </c>
      <c r="Q3" s="102"/>
      <c r="R3" s="1"/>
      <c r="S3" s="1"/>
      <c r="T3" s="1"/>
    </row>
    <row r="4" spans="1:20" x14ac:dyDescent="0.2">
      <c r="A4" s="49"/>
      <c r="B4" s="10"/>
      <c r="C4" s="78"/>
      <c r="D4" s="10"/>
      <c r="E4" s="89"/>
      <c r="F4" s="66"/>
      <c r="G4" s="67"/>
      <c r="H4" s="73"/>
      <c r="J4" s="78"/>
      <c r="K4" s="78"/>
      <c r="L4" s="78"/>
      <c r="M4" s="101">
        <f>E4</f>
        <v>0</v>
      </c>
      <c r="N4" s="101"/>
      <c r="O4" s="77">
        <v>0</v>
      </c>
      <c r="P4" s="77">
        <f>+M4-O4</f>
        <v>0</v>
      </c>
      <c r="R4" s="1"/>
    </row>
    <row r="5" spans="1:20" s="15" customFormat="1" x14ac:dyDescent="0.2">
      <c r="A5" s="44">
        <v>46113</v>
      </c>
      <c r="B5" s="17" t="s">
        <v>9</v>
      </c>
      <c r="C5" s="76" t="s">
        <v>9</v>
      </c>
      <c r="D5" s="17" t="s">
        <v>9</v>
      </c>
      <c r="E5" s="90" t="s">
        <v>108</v>
      </c>
      <c r="F5" s="13">
        <v>-2731</v>
      </c>
      <c r="G5" s="14">
        <v>0</v>
      </c>
      <c r="H5" s="45">
        <f t="shared" ref="H5:H69" si="0">H4+F5-G5</f>
        <v>-2731</v>
      </c>
      <c r="J5" s="78"/>
      <c r="K5" s="78"/>
      <c r="L5" s="78"/>
      <c r="M5" s="101">
        <f>G5</f>
        <v>0</v>
      </c>
      <c r="N5" s="101"/>
      <c r="O5" s="77">
        <v>0</v>
      </c>
      <c r="P5" s="77">
        <f t="shared" ref="P5:P68" si="1">+M5-O5</f>
        <v>0</v>
      </c>
      <c r="R5" s="1"/>
      <c r="S5" s="1"/>
      <c r="T5" s="1"/>
    </row>
    <row r="6" spans="1:20" s="15" customFormat="1" x14ac:dyDescent="0.2">
      <c r="A6" s="120">
        <v>46114</v>
      </c>
      <c r="B6" s="17" t="s">
        <v>261</v>
      </c>
      <c r="C6" s="76" t="s">
        <v>25</v>
      </c>
      <c r="D6" s="17" t="s">
        <v>262</v>
      </c>
      <c r="E6" s="106" t="s">
        <v>316</v>
      </c>
      <c r="F6" s="13">
        <v>5000</v>
      </c>
      <c r="G6" s="23">
        <v>4850</v>
      </c>
      <c r="H6" s="47">
        <f t="shared" si="0"/>
        <v>-2581</v>
      </c>
      <c r="J6" s="78"/>
      <c r="K6" s="96">
        <f>G6</f>
        <v>4850</v>
      </c>
      <c r="L6" s="78"/>
      <c r="M6" s="101">
        <v>0</v>
      </c>
      <c r="N6" s="101"/>
      <c r="O6" s="77">
        <v>0</v>
      </c>
      <c r="P6" s="77">
        <f t="shared" si="1"/>
        <v>0</v>
      </c>
      <c r="R6" s="1"/>
      <c r="S6" s="1"/>
      <c r="T6" s="1"/>
    </row>
    <row r="7" spans="1:20" s="15" customFormat="1" x14ac:dyDescent="0.2">
      <c r="A7" s="121"/>
      <c r="B7" s="17" t="s">
        <v>261</v>
      </c>
      <c r="C7" s="76" t="s">
        <v>25</v>
      </c>
      <c r="D7" s="17" t="s">
        <v>262</v>
      </c>
      <c r="E7" s="106" t="s">
        <v>314</v>
      </c>
      <c r="F7" s="24">
        <v>10000</v>
      </c>
      <c r="G7" s="23">
        <v>850</v>
      </c>
      <c r="H7" s="47">
        <f t="shared" si="0"/>
        <v>6569</v>
      </c>
      <c r="J7" s="78"/>
      <c r="K7" s="96">
        <f>G7</f>
        <v>850</v>
      </c>
      <c r="L7" s="78"/>
      <c r="M7" s="101">
        <v>0</v>
      </c>
      <c r="N7" s="101"/>
      <c r="O7" s="77">
        <v>0</v>
      </c>
      <c r="P7" s="77">
        <f t="shared" si="1"/>
        <v>0</v>
      </c>
      <c r="R7" s="1"/>
      <c r="S7" s="1"/>
      <c r="T7" s="1"/>
    </row>
    <row r="8" spans="1:20" s="15" customFormat="1" x14ac:dyDescent="0.2">
      <c r="A8" s="121"/>
      <c r="B8" s="17" t="s">
        <v>261</v>
      </c>
      <c r="C8" s="76" t="s">
        <v>25</v>
      </c>
      <c r="D8" s="17" t="s">
        <v>262</v>
      </c>
      <c r="E8" s="106" t="s">
        <v>315</v>
      </c>
      <c r="F8" s="24">
        <v>5000</v>
      </c>
      <c r="G8" s="23">
        <v>100</v>
      </c>
      <c r="H8" s="47">
        <f t="shared" si="0"/>
        <v>11469</v>
      </c>
      <c r="J8" s="78"/>
      <c r="K8" s="96">
        <f>G8</f>
        <v>100</v>
      </c>
      <c r="L8" s="78"/>
      <c r="M8" s="101">
        <v>0</v>
      </c>
      <c r="N8" s="101"/>
      <c r="O8" s="77">
        <v>0</v>
      </c>
      <c r="P8" s="77">
        <f t="shared" si="1"/>
        <v>0</v>
      </c>
      <c r="R8" s="1"/>
      <c r="S8" s="1"/>
      <c r="T8" s="1"/>
    </row>
    <row r="9" spans="1:20" s="15" customFormat="1" x14ac:dyDescent="0.2">
      <c r="A9" s="121"/>
      <c r="B9" s="17"/>
      <c r="C9" s="76"/>
      <c r="D9" s="17"/>
      <c r="E9" s="107" t="s">
        <v>260</v>
      </c>
      <c r="F9" s="24">
        <v>0</v>
      </c>
      <c r="G9" s="23">
        <v>3200</v>
      </c>
      <c r="H9" s="47">
        <f t="shared" si="0"/>
        <v>8269</v>
      </c>
      <c r="J9" s="98">
        <f>G9</f>
        <v>3200</v>
      </c>
      <c r="K9" s="78">
        <v>0</v>
      </c>
      <c r="L9" s="78"/>
      <c r="M9" s="101">
        <v>0</v>
      </c>
      <c r="N9" s="101"/>
      <c r="O9" s="77">
        <v>0</v>
      </c>
      <c r="P9" s="77">
        <f t="shared" si="1"/>
        <v>0</v>
      </c>
      <c r="R9" s="1"/>
      <c r="S9" s="1"/>
      <c r="T9" s="1"/>
    </row>
    <row r="10" spans="1:20" s="15" customFormat="1" ht="25.5" x14ac:dyDescent="0.2">
      <c r="A10" s="121"/>
      <c r="B10" s="18"/>
      <c r="C10" s="76"/>
      <c r="D10" s="17"/>
      <c r="E10" s="106" t="s">
        <v>313</v>
      </c>
      <c r="F10" s="24"/>
      <c r="G10" s="23">
        <v>250</v>
      </c>
      <c r="H10" s="47">
        <f t="shared" si="0"/>
        <v>8019</v>
      </c>
      <c r="J10" s="78"/>
      <c r="K10" s="96">
        <f>G10</f>
        <v>250</v>
      </c>
      <c r="L10" s="78"/>
      <c r="M10" s="101">
        <v>0</v>
      </c>
      <c r="N10" s="101"/>
      <c r="O10" s="77">
        <v>0</v>
      </c>
      <c r="P10" s="77">
        <f t="shared" si="1"/>
        <v>0</v>
      </c>
      <c r="R10" s="1"/>
      <c r="S10" s="1"/>
      <c r="T10" s="1"/>
    </row>
    <row r="11" spans="1:20" s="15" customFormat="1" x14ac:dyDescent="0.2">
      <c r="A11" s="122"/>
      <c r="B11" s="17"/>
      <c r="C11" s="76"/>
      <c r="D11" s="17"/>
      <c r="E11" s="109" t="s">
        <v>319</v>
      </c>
      <c r="F11" s="24"/>
      <c r="G11" s="23">
        <v>1475</v>
      </c>
      <c r="H11" s="47">
        <f t="shared" si="0"/>
        <v>6544</v>
      </c>
      <c r="J11" s="78"/>
      <c r="K11" s="78"/>
      <c r="L11" s="78"/>
      <c r="M11" s="111">
        <f>G11</f>
        <v>1475</v>
      </c>
      <c r="N11" s="101" t="s">
        <v>293</v>
      </c>
      <c r="O11" s="77">
        <v>3000</v>
      </c>
      <c r="P11" s="77">
        <f>O11-M11</f>
        <v>1525</v>
      </c>
      <c r="R11" s="1"/>
      <c r="S11" s="1"/>
      <c r="T11" s="1"/>
    </row>
    <row r="12" spans="1:20" s="15" customFormat="1" x14ac:dyDescent="0.2">
      <c r="A12" s="120">
        <v>46115</v>
      </c>
      <c r="B12" s="17"/>
      <c r="C12" s="76"/>
      <c r="D12" s="17"/>
      <c r="E12" s="106" t="s">
        <v>323</v>
      </c>
      <c r="F12" s="24"/>
      <c r="G12" s="23">
        <v>270</v>
      </c>
      <c r="H12" s="47">
        <f t="shared" si="0"/>
        <v>6274</v>
      </c>
      <c r="J12" s="78"/>
      <c r="K12" s="96">
        <f>G12</f>
        <v>270</v>
      </c>
      <c r="L12" s="78"/>
      <c r="M12" s="101">
        <v>0</v>
      </c>
      <c r="N12" s="101"/>
      <c r="O12" s="77">
        <v>0</v>
      </c>
      <c r="P12" s="77">
        <f t="shared" si="1"/>
        <v>0</v>
      </c>
      <c r="R12" s="1"/>
      <c r="S12" s="1"/>
      <c r="T12" s="1"/>
    </row>
    <row r="13" spans="1:20" s="15" customFormat="1" x14ac:dyDescent="0.2">
      <c r="A13" s="122"/>
      <c r="B13" s="18"/>
      <c r="C13" s="76"/>
      <c r="D13" s="17"/>
      <c r="E13" s="109" t="s">
        <v>322</v>
      </c>
      <c r="F13" s="24"/>
      <c r="G13" s="23">
        <v>500</v>
      </c>
      <c r="H13" s="47">
        <f t="shared" si="0"/>
        <v>5774</v>
      </c>
      <c r="J13" s="78"/>
      <c r="K13" s="96">
        <f>G13</f>
        <v>500</v>
      </c>
      <c r="L13" s="78"/>
      <c r="M13" s="101">
        <v>0</v>
      </c>
      <c r="N13" s="101"/>
      <c r="O13" s="77">
        <v>0</v>
      </c>
      <c r="P13" s="77">
        <f t="shared" si="1"/>
        <v>0</v>
      </c>
      <c r="R13" s="1"/>
      <c r="S13" s="1"/>
      <c r="T13" s="1"/>
    </row>
    <row r="14" spans="1:20" s="15" customFormat="1" ht="25.5" x14ac:dyDescent="0.2">
      <c r="A14" s="120">
        <v>46116</v>
      </c>
      <c r="B14" s="17"/>
      <c r="C14" s="76"/>
      <c r="D14" s="17"/>
      <c r="E14" s="106" t="s">
        <v>312</v>
      </c>
      <c r="F14" s="24">
        <v>0</v>
      </c>
      <c r="G14" s="23">
        <v>70</v>
      </c>
      <c r="H14" s="47">
        <f t="shared" si="0"/>
        <v>5704</v>
      </c>
      <c r="J14" s="78"/>
      <c r="K14" s="96">
        <f>G14</f>
        <v>70</v>
      </c>
      <c r="L14" s="78"/>
      <c r="M14" s="101">
        <v>0</v>
      </c>
      <c r="N14" s="101"/>
      <c r="O14" s="77">
        <v>0</v>
      </c>
      <c r="P14" s="77">
        <f t="shared" si="1"/>
        <v>0</v>
      </c>
      <c r="Q14" s="15" t="s">
        <v>9</v>
      </c>
      <c r="R14" s="1"/>
      <c r="S14" s="1"/>
      <c r="T14" s="1"/>
    </row>
    <row r="15" spans="1:20" s="15" customFormat="1" x14ac:dyDescent="0.2">
      <c r="A15" s="121"/>
      <c r="B15" s="17"/>
      <c r="C15" s="76"/>
      <c r="D15" s="17"/>
      <c r="E15" s="109" t="s">
        <v>264</v>
      </c>
      <c r="F15" s="24"/>
      <c r="G15" s="23">
        <v>400</v>
      </c>
      <c r="H15" s="47">
        <f t="shared" si="0"/>
        <v>5304</v>
      </c>
      <c r="J15" s="78"/>
      <c r="K15" s="78"/>
      <c r="L15" s="78"/>
      <c r="M15" s="111">
        <f>G15</f>
        <v>400</v>
      </c>
      <c r="N15" s="101" t="s">
        <v>294</v>
      </c>
      <c r="O15" s="77">
        <v>23000</v>
      </c>
      <c r="P15" s="77">
        <f>O15-(M15+M22+M29+M31+M45+M46)</f>
        <v>19870</v>
      </c>
      <c r="R15" s="1"/>
      <c r="S15" s="1"/>
      <c r="T15" s="1"/>
    </row>
    <row r="16" spans="1:20" s="15" customFormat="1" x14ac:dyDescent="0.2">
      <c r="A16" s="121"/>
      <c r="B16" s="17"/>
      <c r="C16" s="76"/>
      <c r="D16" s="17"/>
      <c r="E16" s="112" t="s">
        <v>320</v>
      </c>
      <c r="F16" s="24"/>
      <c r="G16" s="23">
        <v>111</v>
      </c>
      <c r="H16" s="47">
        <f t="shared" si="0"/>
        <v>5193</v>
      </c>
      <c r="J16" s="78"/>
      <c r="K16" s="78"/>
      <c r="L16" s="78"/>
      <c r="M16" s="111">
        <f t="shared" ref="M16:M19" si="2">G16</f>
        <v>111</v>
      </c>
      <c r="N16" s="101" t="s">
        <v>321</v>
      </c>
      <c r="O16" s="77">
        <v>500</v>
      </c>
      <c r="P16" s="77">
        <f>O16-M16</f>
        <v>389</v>
      </c>
      <c r="R16" s="1"/>
      <c r="S16" s="1"/>
      <c r="T16" s="1"/>
    </row>
    <row r="17" spans="1:20" s="15" customFormat="1" x14ac:dyDescent="0.2">
      <c r="A17" s="121"/>
      <c r="B17" s="17"/>
      <c r="C17" s="76"/>
      <c r="D17" s="17"/>
      <c r="E17" s="113" t="s">
        <v>337</v>
      </c>
      <c r="F17" s="24"/>
      <c r="G17" s="23">
        <v>70</v>
      </c>
      <c r="H17" s="47">
        <f t="shared" si="0"/>
        <v>5123</v>
      </c>
      <c r="J17" s="78"/>
      <c r="K17" s="78"/>
      <c r="L17" s="78"/>
      <c r="M17" s="111">
        <f t="shared" si="2"/>
        <v>70</v>
      </c>
      <c r="N17" s="101" t="s">
        <v>338</v>
      </c>
      <c r="O17" s="77">
        <v>0</v>
      </c>
      <c r="P17" s="77">
        <f t="shared" si="1"/>
        <v>70</v>
      </c>
      <c r="R17" s="1"/>
      <c r="S17" s="1"/>
      <c r="T17" s="1"/>
    </row>
    <row r="18" spans="1:20" s="15" customFormat="1" x14ac:dyDescent="0.2">
      <c r="A18" s="122"/>
      <c r="B18" s="17"/>
      <c r="C18" s="76"/>
      <c r="D18" s="17"/>
      <c r="E18" s="106" t="s">
        <v>339</v>
      </c>
      <c r="F18" s="24"/>
      <c r="G18" s="23">
        <v>450</v>
      </c>
      <c r="H18" s="47">
        <f t="shared" si="0"/>
        <v>4673</v>
      </c>
      <c r="J18" s="78"/>
      <c r="K18" s="96">
        <f>G18</f>
        <v>450</v>
      </c>
      <c r="L18" s="78"/>
      <c r="M18" s="101">
        <v>0</v>
      </c>
      <c r="N18" s="101"/>
      <c r="O18" s="77">
        <v>0</v>
      </c>
      <c r="P18" s="77">
        <f t="shared" si="1"/>
        <v>0</v>
      </c>
      <c r="R18" s="1"/>
      <c r="S18" s="1"/>
      <c r="T18" s="1"/>
    </row>
    <row r="19" spans="1:20" s="15" customFormat="1" x14ac:dyDescent="0.2">
      <c r="A19" s="120">
        <v>46118</v>
      </c>
      <c r="B19" s="17"/>
      <c r="C19" s="76"/>
      <c r="D19" s="17"/>
      <c r="E19" s="112" t="s">
        <v>333</v>
      </c>
      <c r="F19" s="24"/>
      <c r="G19" s="23">
        <v>210</v>
      </c>
      <c r="H19" s="47">
        <f t="shared" si="0"/>
        <v>4463</v>
      </c>
      <c r="J19" s="78"/>
      <c r="K19" s="78"/>
      <c r="L19" s="78"/>
      <c r="M19" s="111">
        <f t="shared" si="2"/>
        <v>210</v>
      </c>
      <c r="N19" s="101" t="s">
        <v>334</v>
      </c>
      <c r="O19" s="77">
        <v>2000</v>
      </c>
      <c r="P19" s="77">
        <f>O19-M19</f>
        <v>1790</v>
      </c>
      <c r="R19" s="1"/>
      <c r="S19" s="1"/>
      <c r="T19" s="1"/>
    </row>
    <row r="20" spans="1:20" s="15" customFormat="1" x14ac:dyDescent="0.2">
      <c r="A20" s="121"/>
      <c r="B20" s="17"/>
      <c r="C20" s="76"/>
      <c r="D20" s="17"/>
      <c r="E20" s="109" t="s">
        <v>265</v>
      </c>
      <c r="F20" s="24"/>
      <c r="G20" s="23">
        <v>180</v>
      </c>
      <c r="H20" s="47">
        <f t="shared" si="0"/>
        <v>4283</v>
      </c>
      <c r="J20" s="78"/>
      <c r="K20" s="78"/>
      <c r="L20" s="78"/>
      <c r="M20" s="111">
        <f t="shared" ref="M20:M25" si="3">G20</f>
        <v>180</v>
      </c>
      <c r="N20" s="101" t="s">
        <v>295</v>
      </c>
      <c r="O20" s="77">
        <v>4000</v>
      </c>
      <c r="P20" s="77">
        <f>O20-M20</f>
        <v>3820</v>
      </c>
      <c r="R20" s="1"/>
      <c r="S20" s="1"/>
      <c r="T20" s="1"/>
    </row>
    <row r="21" spans="1:20" s="15" customFormat="1" x14ac:dyDescent="0.2">
      <c r="A21" s="121"/>
      <c r="B21" s="17"/>
      <c r="C21" s="76"/>
      <c r="D21" s="17"/>
      <c r="E21" s="106" t="s">
        <v>324</v>
      </c>
      <c r="F21" s="24"/>
      <c r="G21" s="23">
        <v>320</v>
      </c>
      <c r="H21" s="47">
        <f t="shared" si="0"/>
        <v>3963</v>
      </c>
      <c r="J21" s="78"/>
      <c r="K21" s="96">
        <f>G21</f>
        <v>320</v>
      </c>
      <c r="L21" s="78"/>
      <c r="M21" s="101">
        <v>0</v>
      </c>
      <c r="N21" s="101"/>
      <c r="O21" s="77">
        <v>0</v>
      </c>
      <c r="P21" s="77">
        <f t="shared" si="1"/>
        <v>0</v>
      </c>
      <c r="R21" s="1"/>
      <c r="S21" s="1"/>
      <c r="T21" s="1"/>
    </row>
    <row r="22" spans="1:20" s="15" customFormat="1" x14ac:dyDescent="0.2">
      <c r="A22" s="121"/>
      <c r="B22" s="17"/>
      <c r="C22" s="76"/>
      <c r="D22" s="17"/>
      <c r="E22" s="109" t="s">
        <v>266</v>
      </c>
      <c r="F22" s="24"/>
      <c r="G22" s="23">
        <v>280</v>
      </c>
      <c r="H22" s="47">
        <f t="shared" si="0"/>
        <v>3683</v>
      </c>
      <c r="J22" s="78"/>
      <c r="K22" s="78"/>
      <c r="L22" s="78"/>
      <c r="M22" s="111">
        <f t="shared" si="3"/>
        <v>280</v>
      </c>
      <c r="N22" s="101" t="s">
        <v>294</v>
      </c>
      <c r="O22" s="77" t="s">
        <v>353</v>
      </c>
      <c r="P22" s="77" t="s">
        <v>353</v>
      </c>
      <c r="R22" s="1"/>
      <c r="S22" s="1"/>
      <c r="T22" s="1"/>
    </row>
    <row r="23" spans="1:20" s="15" customFormat="1" x14ac:dyDescent="0.2">
      <c r="A23" s="122"/>
      <c r="B23" s="17"/>
      <c r="C23" s="76"/>
      <c r="D23" s="17"/>
      <c r="E23" s="106" t="s">
        <v>336</v>
      </c>
      <c r="F23" s="24"/>
      <c r="G23" s="23">
        <v>1770</v>
      </c>
      <c r="H23" s="47">
        <f t="shared" si="0"/>
        <v>1913</v>
      </c>
      <c r="J23" s="78"/>
      <c r="K23" s="96">
        <f>G23</f>
        <v>1770</v>
      </c>
      <c r="L23" s="78"/>
      <c r="M23" s="101">
        <v>0</v>
      </c>
      <c r="N23" s="101"/>
      <c r="O23" s="77">
        <v>0</v>
      </c>
      <c r="P23" s="77">
        <f t="shared" si="1"/>
        <v>0</v>
      </c>
      <c r="R23" s="1"/>
      <c r="S23" s="1"/>
      <c r="T23" s="1"/>
    </row>
    <row r="24" spans="1:20" s="15" customFormat="1" x14ac:dyDescent="0.2">
      <c r="A24" s="120">
        <v>46119</v>
      </c>
      <c r="B24" s="17"/>
      <c r="C24" s="76"/>
      <c r="D24" s="17"/>
      <c r="E24" s="112" t="s">
        <v>325</v>
      </c>
      <c r="F24" s="24">
        <v>0</v>
      </c>
      <c r="G24" s="23">
        <v>400</v>
      </c>
      <c r="H24" s="47">
        <f t="shared" si="0"/>
        <v>1513</v>
      </c>
      <c r="J24" s="78"/>
      <c r="K24" s="78"/>
      <c r="L24" s="78"/>
      <c r="M24" s="111">
        <f t="shared" si="3"/>
        <v>400</v>
      </c>
      <c r="N24" s="101" t="s">
        <v>328</v>
      </c>
      <c r="O24" s="77">
        <v>1700</v>
      </c>
      <c r="P24" s="77">
        <f>O24-(M24+M25)</f>
        <v>1228</v>
      </c>
      <c r="R24" s="1"/>
      <c r="S24" s="1"/>
      <c r="T24" s="1"/>
    </row>
    <row r="25" spans="1:20" s="15" customFormat="1" x14ac:dyDescent="0.2">
      <c r="A25" s="121"/>
      <c r="B25" s="17"/>
      <c r="C25" s="76"/>
      <c r="D25" s="17"/>
      <c r="E25" s="112" t="s">
        <v>335</v>
      </c>
      <c r="F25" s="24"/>
      <c r="G25" s="23">
        <v>72</v>
      </c>
      <c r="H25" s="47">
        <f t="shared" si="0"/>
        <v>1441</v>
      </c>
      <c r="J25" s="78"/>
      <c r="K25" s="78"/>
      <c r="L25" s="78"/>
      <c r="M25" s="111">
        <f t="shared" si="3"/>
        <v>72</v>
      </c>
      <c r="N25" s="101" t="s">
        <v>328</v>
      </c>
      <c r="O25" s="77" t="s">
        <v>353</v>
      </c>
      <c r="P25" s="77" t="s">
        <v>353</v>
      </c>
      <c r="R25" s="1"/>
      <c r="S25" s="1"/>
      <c r="T25" s="1"/>
    </row>
    <row r="26" spans="1:20" s="15" customFormat="1" x14ac:dyDescent="0.2">
      <c r="A26" s="121"/>
      <c r="B26" s="17"/>
      <c r="C26" s="76"/>
      <c r="D26" s="17"/>
      <c r="E26" s="107" t="s">
        <v>267</v>
      </c>
      <c r="F26" s="24"/>
      <c r="G26" s="23">
        <v>500</v>
      </c>
      <c r="H26" s="47">
        <f t="shared" si="0"/>
        <v>941</v>
      </c>
      <c r="J26" s="98">
        <f>G26</f>
        <v>500</v>
      </c>
      <c r="K26" s="78"/>
      <c r="L26" s="78"/>
      <c r="M26" s="101">
        <v>0</v>
      </c>
      <c r="N26" s="101"/>
      <c r="O26" s="77">
        <v>0</v>
      </c>
      <c r="P26" s="77">
        <f t="shared" si="1"/>
        <v>0</v>
      </c>
      <c r="R26" s="1"/>
      <c r="S26" s="1"/>
      <c r="T26" s="1"/>
    </row>
    <row r="27" spans="1:20" s="15" customFormat="1" x14ac:dyDescent="0.2">
      <c r="A27" s="121"/>
      <c r="B27" s="17"/>
      <c r="C27" s="76"/>
      <c r="D27" s="17"/>
      <c r="E27" s="109" t="s">
        <v>326</v>
      </c>
      <c r="F27" s="24"/>
      <c r="G27" s="23">
        <v>180</v>
      </c>
      <c r="H27" s="47">
        <f t="shared" si="0"/>
        <v>761</v>
      </c>
      <c r="J27" s="78"/>
      <c r="K27" s="78"/>
      <c r="L27" s="78"/>
      <c r="M27" s="111">
        <f>G27</f>
        <v>180</v>
      </c>
      <c r="N27" s="101" t="s">
        <v>296</v>
      </c>
      <c r="O27" s="77">
        <v>2000</v>
      </c>
      <c r="P27" s="77">
        <f>O27-M27</f>
        <v>1820</v>
      </c>
      <c r="R27" s="1"/>
      <c r="S27" s="1"/>
      <c r="T27" s="1"/>
    </row>
    <row r="28" spans="1:20" s="15" customFormat="1" x14ac:dyDescent="0.2">
      <c r="A28" s="121"/>
      <c r="B28" s="17"/>
      <c r="C28" s="76"/>
      <c r="D28" s="17"/>
      <c r="E28" s="106" t="s">
        <v>268</v>
      </c>
      <c r="F28" s="24"/>
      <c r="G28" s="23">
        <v>1138</v>
      </c>
      <c r="H28" s="47">
        <f t="shared" si="0"/>
        <v>-377</v>
      </c>
      <c r="J28" s="78"/>
      <c r="K28" s="96">
        <f>G28</f>
        <v>1138</v>
      </c>
      <c r="L28" s="78"/>
      <c r="M28" s="101">
        <v>0</v>
      </c>
      <c r="N28" s="101"/>
      <c r="O28" s="77">
        <v>0</v>
      </c>
      <c r="P28" s="77">
        <f t="shared" si="1"/>
        <v>0</v>
      </c>
      <c r="R28" s="1"/>
      <c r="S28" s="1"/>
      <c r="T28" s="1"/>
    </row>
    <row r="29" spans="1:20" s="15" customFormat="1" x14ac:dyDescent="0.2">
      <c r="A29" s="122"/>
      <c r="B29" s="17"/>
      <c r="C29" s="76"/>
      <c r="D29" s="17"/>
      <c r="E29" s="109" t="s">
        <v>269</v>
      </c>
      <c r="F29" s="24"/>
      <c r="G29" s="23">
        <v>300</v>
      </c>
      <c r="H29" s="47">
        <f t="shared" si="0"/>
        <v>-677</v>
      </c>
      <c r="J29" s="78"/>
      <c r="K29" s="78"/>
      <c r="L29" s="78"/>
      <c r="M29" s="111">
        <f>G29</f>
        <v>300</v>
      </c>
      <c r="N29" s="101" t="s">
        <v>294</v>
      </c>
      <c r="O29" s="77" t="s">
        <v>353</v>
      </c>
      <c r="P29" s="77" t="s">
        <v>353</v>
      </c>
      <c r="R29" s="1"/>
      <c r="S29" s="1"/>
      <c r="T29" s="1"/>
    </row>
    <row r="30" spans="1:20" s="15" customFormat="1" x14ac:dyDescent="0.2">
      <c r="A30" s="120">
        <v>46120</v>
      </c>
      <c r="B30" s="18"/>
      <c r="C30" s="76"/>
      <c r="D30" s="17"/>
      <c r="E30" s="108" t="s">
        <v>270</v>
      </c>
      <c r="F30" s="24"/>
      <c r="G30" s="23">
        <v>197</v>
      </c>
      <c r="H30" s="47">
        <f t="shared" si="0"/>
        <v>-874</v>
      </c>
      <c r="J30" s="78"/>
      <c r="K30" s="78"/>
      <c r="L30" s="94">
        <f>G30</f>
        <v>197</v>
      </c>
      <c r="M30" s="101">
        <v>0</v>
      </c>
      <c r="N30" s="101"/>
      <c r="O30" s="77">
        <v>0</v>
      </c>
      <c r="P30" s="77">
        <f t="shared" si="1"/>
        <v>0</v>
      </c>
      <c r="R30" s="1"/>
      <c r="S30" s="1"/>
      <c r="T30" s="1"/>
    </row>
    <row r="31" spans="1:20" s="15" customFormat="1" x14ac:dyDescent="0.2">
      <c r="A31" s="121"/>
      <c r="B31" s="17"/>
      <c r="C31" s="76"/>
      <c r="D31" s="17"/>
      <c r="E31" s="109" t="s">
        <v>271</v>
      </c>
      <c r="F31" s="24"/>
      <c r="G31" s="23">
        <v>550</v>
      </c>
      <c r="H31" s="47">
        <f t="shared" si="0"/>
        <v>-1424</v>
      </c>
      <c r="J31" s="78"/>
      <c r="K31" s="78"/>
      <c r="L31" s="78"/>
      <c r="M31" s="111">
        <f>G31</f>
        <v>550</v>
      </c>
      <c r="N31" s="101" t="s">
        <v>294</v>
      </c>
      <c r="O31" s="77" t="s">
        <v>353</v>
      </c>
      <c r="P31" s="77" t="s">
        <v>353</v>
      </c>
      <c r="R31" s="1"/>
      <c r="S31" s="1"/>
      <c r="T31" s="1"/>
    </row>
    <row r="32" spans="1:20" s="15" customFormat="1" x14ac:dyDescent="0.2">
      <c r="A32" s="121"/>
      <c r="B32" s="17"/>
      <c r="C32" s="76"/>
      <c r="D32" s="17"/>
      <c r="E32" s="109" t="s">
        <v>272</v>
      </c>
      <c r="F32" s="24"/>
      <c r="G32" s="23">
        <v>150</v>
      </c>
      <c r="H32" s="47">
        <f t="shared" si="0"/>
        <v>-1574</v>
      </c>
      <c r="J32" s="78"/>
      <c r="K32" s="78"/>
      <c r="L32" s="78"/>
      <c r="M32" s="111">
        <f>G32</f>
        <v>150</v>
      </c>
      <c r="N32" s="101" t="s">
        <v>297</v>
      </c>
      <c r="O32" s="77">
        <v>2000</v>
      </c>
      <c r="P32" s="77">
        <f>O32-M32</f>
        <v>1850</v>
      </c>
      <c r="R32" s="1"/>
      <c r="S32" s="1"/>
      <c r="T32" s="1"/>
    </row>
    <row r="33" spans="1:20" s="15" customFormat="1" x14ac:dyDescent="0.2">
      <c r="A33" s="122"/>
      <c r="B33" s="17"/>
      <c r="C33" s="76"/>
      <c r="D33" s="17"/>
      <c r="E33" s="109" t="s">
        <v>327</v>
      </c>
      <c r="F33" s="24"/>
      <c r="G33" s="23">
        <v>290</v>
      </c>
      <c r="H33" s="47">
        <f t="shared" si="0"/>
        <v>-1864</v>
      </c>
      <c r="J33" s="78"/>
      <c r="K33" s="78"/>
      <c r="L33" s="78"/>
      <c r="M33" s="111">
        <f>G33</f>
        <v>290</v>
      </c>
      <c r="N33" s="101" t="s">
        <v>298</v>
      </c>
      <c r="O33" s="77">
        <v>5600</v>
      </c>
      <c r="P33" s="77">
        <f>O33-(M33+M38)</f>
        <v>4960</v>
      </c>
      <c r="R33" s="1"/>
      <c r="S33" s="1"/>
      <c r="T33" s="1"/>
    </row>
    <row r="34" spans="1:20" s="15" customFormat="1" x14ac:dyDescent="0.2">
      <c r="A34" s="120">
        <v>46121</v>
      </c>
      <c r="B34" s="17"/>
      <c r="C34" s="76"/>
      <c r="D34" s="17"/>
      <c r="E34" s="115" t="s">
        <v>274</v>
      </c>
      <c r="F34" s="24"/>
      <c r="G34" s="23">
        <v>224</v>
      </c>
      <c r="H34" s="47">
        <f t="shared" si="0"/>
        <v>-2088</v>
      </c>
      <c r="J34" s="78"/>
      <c r="K34" s="78"/>
      <c r="L34" s="94">
        <f>G34</f>
        <v>224</v>
      </c>
      <c r="M34" s="101">
        <v>0</v>
      </c>
      <c r="N34" s="101"/>
      <c r="O34" s="77">
        <v>0</v>
      </c>
      <c r="P34" s="77">
        <f t="shared" si="1"/>
        <v>0</v>
      </c>
      <c r="R34" s="1"/>
      <c r="S34" s="1"/>
      <c r="T34" s="1"/>
    </row>
    <row r="35" spans="1:20" s="15" customFormat="1" x14ac:dyDescent="0.2">
      <c r="A35" s="122"/>
      <c r="B35" s="17"/>
      <c r="C35" s="76"/>
      <c r="D35" s="17"/>
      <c r="E35" s="109" t="s">
        <v>332</v>
      </c>
      <c r="F35" s="24"/>
      <c r="G35" s="23">
        <v>260</v>
      </c>
      <c r="H35" s="47">
        <f t="shared" si="0"/>
        <v>-2348</v>
      </c>
      <c r="J35" s="78"/>
      <c r="K35" s="78"/>
      <c r="L35" s="78"/>
      <c r="M35" s="101">
        <v>0</v>
      </c>
      <c r="N35" s="101"/>
      <c r="O35" s="77">
        <v>0</v>
      </c>
      <c r="P35" s="77">
        <f t="shared" si="1"/>
        <v>0</v>
      </c>
      <c r="R35" s="1"/>
      <c r="S35" s="1"/>
      <c r="T35" s="1"/>
    </row>
    <row r="36" spans="1:20" s="15" customFormat="1" x14ac:dyDescent="0.2">
      <c r="A36" s="44">
        <v>46122</v>
      </c>
      <c r="B36" s="17" t="s">
        <v>261</v>
      </c>
      <c r="C36" s="76" t="s">
        <v>25</v>
      </c>
      <c r="D36" s="17" t="s">
        <v>262</v>
      </c>
      <c r="E36" s="115" t="s">
        <v>273</v>
      </c>
      <c r="F36" s="24">
        <v>5000</v>
      </c>
      <c r="G36" s="23">
        <v>192</v>
      </c>
      <c r="H36" s="47">
        <f t="shared" si="0"/>
        <v>2460</v>
      </c>
      <c r="J36" s="78"/>
      <c r="K36" s="78"/>
      <c r="L36" s="94">
        <f>G36</f>
        <v>192</v>
      </c>
      <c r="M36" s="101">
        <v>0</v>
      </c>
      <c r="N36" s="101"/>
      <c r="O36" s="77">
        <v>0</v>
      </c>
      <c r="P36" s="77">
        <f t="shared" si="1"/>
        <v>0</v>
      </c>
      <c r="R36" s="1"/>
      <c r="S36" s="1"/>
      <c r="T36" s="1"/>
    </row>
    <row r="37" spans="1:20" s="15" customFormat="1" x14ac:dyDescent="0.2">
      <c r="A37" s="120">
        <v>46123</v>
      </c>
      <c r="B37" s="17"/>
      <c r="C37" s="76"/>
      <c r="D37" s="17"/>
      <c r="E37" s="115" t="s">
        <v>270</v>
      </c>
      <c r="F37" s="24"/>
      <c r="G37" s="23">
        <v>704</v>
      </c>
      <c r="H37" s="47">
        <f t="shared" si="0"/>
        <v>1756</v>
      </c>
      <c r="J37" s="78"/>
      <c r="K37" s="78"/>
      <c r="L37" s="94">
        <f>G37</f>
        <v>704</v>
      </c>
      <c r="M37" s="101">
        <v>0</v>
      </c>
      <c r="N37" s="101"/>
      <c r="O37" s="77">
        <v>0</v>
      </c>
      <c r="P37" s="77">
        <f t="shared" si="1"/>
        <v>0</v>
      </c>
      <c r="R37" s="1"/>
      <c r="S37" s="1"/>
      <c r="T37" s="1"/>
    </row>
    <row r="38" spans="1:20" s="15" customFormat="1" x14ac:dyDescent="0.2">
      <c r="A38" s="121"/>
      <c r="B38" s="17"/>
      <c r="C38" s="76"/>
      <c r="D38" s="17"/>
      <c r="E38" s="109" t="s">
        <v>275</v>
      </c>
      <c r="F38" s="24"/>
      <c r="G38" s="23">
        <v>350</v>
      </c>
      <c r="H38" s="47">
        <f t="shared" si="0"/>
        <v>1406</v>
      </c>
      <c r="J38" s="78"/>
      <c r="K38" s="78"/>
      <c r="L38" s="78"/>
      <c r="M38" s="111">
        <f>G38</f>
        <v>350</v>
      </c>
      <c r="N38" s="101" t="s">
        <v>298</v>
      </c>
      <c r="O38" s="77" t="s">
        <v>353</v>
      </c>
      <c r="P38" s="77" t="s">
        <v>353</v>
      </c>
      <c r="R38" s="1"/>
      <c r="S38" s="1"/>
      <c r="T38" s="1"/>
    </row>
    <row r="39" spans="1:20" x14ac:dyDescent="0.2">
      <c r="A39" s="122"/>
      <c r="B39" s="25"/>
      <c r="C39" s="77"/>
      <c r="D39" s="11"/>
      <c r="E39" s="112" t="s">
        <v>329</v>
      </c>
      <c r="F39" s="24"/>
      <c r="G39" s="23">
        <v>400</v>
      </c>
      <c r="H39" s="47">
        <f t="shared" si="0"/>
        <v>1006</v>
      </c>
      <c r="J39" s="78"/>
      <c r="K39" s="78"/>
      <c r="L39" s="78"/>
      <c r="M39" s="111">
        <f>G39</f>
        <v>400</v>
      </c>
      <c r="N39" s="101" t="s">
        <v>301</v>
      </c>
      <c r="O39" s="77">
        <v>1500</v>
      </c>
      <c r="P39" s="77">
        <f>O39-(M39:M56)</f>
        <v>1100</v>
      </c>
      <c r="R39" s="1"/>
    </row>
    <row r="40" spans="1:20" x14ac:dyDescent="0.2">
      <c r="A40" s="44">
        <v>46124</v>
      </c>
      <c r="B40" s="18"/>
      <c r="C40" s="76"/>
      <c r="D40" s="17"/>
      <c r="E40" s="109" t="s">
        <v>330</v>
      </c>
      <c r="F40" s="24"/>
      <c r="G40" s="23">
        <v>130</v>
      </c>
      <c r="H40" s="47">
        <f t="shared" si="0"/>
        <v>876</v>
      </c>
      <c r="J40" s="78"/>
      <c r="K40" s="78"/>
      <c r="L40" s="78"/>
      <c r="M40" s="111">
        <f>G40</f>
        <v>130</v>
      </c>
      <c r="N40" s="101" t="s">
        <v>301</v>
      </c>
      <c r="O40" s="77" t="s">
        <v>353</v>
      </c>
      <c r="P40" s="77" t="s">
        <v>353</v>
      </c>
      <c r="R40" s="1"/>
    </row>
    <row r="41" spans="1:20" x14ac:dyDescent="0.2">
      <c r="A41" s="44">
        <v>46125</v>
      </c>
      <c r="B41" s="25"/>
      <c r="C41" s="77"/>
      <c r="D41" s="11"/>
      <c r="E41" s="115" t="s">
        <v>270</v>
      </c>
      <c r="F41" s="24"/>
      <c r="G41" s="23">
        <v>167</v>
      </c>
      <c r="H41" s="47">
        <f t="shared" si="0"/>
        <v>709</v>
      </c>
      <c r="J41" s="78"/>
      <c r="K41" s="78"/>
      <c r="L41" s="94">
        <f>G41</f>
        <v>167</v>
      </c>
      <c r="M41" s="101">
        <v>0</v>
      </c>
      <c r="N41" s="101"/>
      <c r="O41" s="77">
        <v>0</v>
      </c>
      <c r="P41" s="77">
        <f t="shared" si="1"/>
        <v>0</v>
      </c>
      <c r="R41" s="1"/>
    </row>
    <row r="42" spans="1:20" x14ac:dyDescent="0.2">
      <c r="A42" s="120">
        <v>46126</v>
      </c>
      <c r="B42" s="25" t="s">
        <v>261</v>
      </c>
      <c r="C42" s="77" t="s">
        <v>25</v>
      </c>
      <c r="D42" s="11" t="s">
        <v>262</v>
      </c>
      <c r="E42" s="109" t="s">
        <v>276</v>
      </c>
      <c r="F42" s="24">
        <v>10000</v>
      </c>
      <c r="G42" s="23">
        <v>320</v>
      </c>
      <c r="H42" s="47">
        <f t="shared" si="0"/>
        <v>10389</v>
      </c>
      <c r="J42" s="78"/>
      <c r="K42" s="78"/>
      <c r="L42" s="78"/>
      <c r="M42" s="111">
        <f>G42</f>
        <v>320</v>
      </c>
      <c r="N42" s="101" t="s">
        <v>299</v>
      </c>
      <c r="O42" s="77">
        <v>2000</v>
      </c>
      <c r="P42" s="77">
        <f t="shared" si="1"/>
        <v>-1680</v>
      </c>
      <c r="R42" s="1"/>
    </row>
    <row r="43" spans="1:20" x14ac:dyDescent="0.2">
      <c r="A43" s="121"/>
      <c r="B43" s="25"/>
      <c r="C43" s="77"/>
      <c r="D43" s="11"/>
      <c r="E43" s="109" t="s">
        <v>331</v>
      </c>
      <c r="F43" s="24"/>
      <c r="G43" s="23">
        <v>2080</v>
      </c>
      <c r="H43" s="47">
        <f t="shared" si="0"/>
        <v>8309</v>
      </c>
      <c r="J43" s="78"/>
      <c r="K43" s="78"/>
      <c r="L43" s="78"/>
      <c r="M43" s="111">
        <f>G43</f>
        <v>2080</v>
      </c>
      <c r="N43" s="101" t="s">
        <v>277</v>
      </c>
      <c r="O43" s="77">
        <v>3000</v>
      </c>
      <c r="P43" s="77">
        <f>O43-(M43)</f>
        <v>920</v>
      </c>
      <c r="R43" s="1"/>
    </row>
    <row r="44" spans="1:20" x14ac:dyDescent="0.2">
      <c r="A44" s="121"/>
      <c r="B44" s="17"/>
      <c r="C44" s="76"/>
      <c r="D44" s="17"/>
      <c r="E44" s="109" t="s">
        <v>278</v>
      </c>
      <c r="F44" s="24"/>
      <c r="G44" s="23">
        <v>390</v>
      </c>
      <c r="H44" s="47">
        <f t="shared" si="0"/>
        <v>7919</v>
      </c>
      <c r="J44" s="78"/>
      <c r="K44" s="78"/>
      <c r="L44" s="78"/>
      <c r="M44" s="111">
        <f t="shared" ref="M44:M46" si="4">G44</f>
        <v>390</v>
      </c>
      <c r="N44" s="101" t="s">
        <v>300</v>
      </c>
      <c r="O44" s="77">
        <v>2000</v>
      </c>
      <c r="P44" s="77">
        <f>O44-M44</f>
        <v>1610</v>
      </c>
      <c r="R44" s="1"/>
    </row>
    <row r="45" spans="1:20" x14ac:dyDescent="0.2">
      <c r="A45" s="121"/>
      <c r="B45" s="17"/>
      <c r="C45" s="76"/>
      <c r="D45" s="17"/>
      <c r="E45" s="109" t="s">
        <v>279</v>
      </c>
      <c r="F45" s="24"/>
      <c r="G45" s="23">
        <v>700</v>
      </c>
      <c r="H45" s="47">
        <f t="shared" si="0"/>
        <v>7219</v>
      </c>
      <c r="J45" s="78"/>
      <c r="K45" s="78"/>
      <c r="L45" s="78"/>
      <c r="M45" s="111">
        <f t="shared" si="4"/>
        <v>700</v>
      </c>
      <c r="N45" s="101" t="s">
        <v>294</v>
      </c>
      <c r="O45" s="77" t="s">
        <v>353</v>
      </c>
      <c r="P45" s="77" t="s">
        <v>353</v>
      </c>
      <c r="R45" s="1"/>
    </row>
    <row r="46" spans="1:20" x14ac:dyDescent="0.2">
      <c r="A46" s="121"/>
      <c r="B46" s="17"/>
      <c r="C46" s="77"/>
      <c r="D46" s="11"/>
      <c r="E46" s="109" t="s">
        <v>271</v>
      </c>
      <c r="F46" s="24"/>
      <c r="G46" s="23">
        <v>900</v>
      </c>
      <c r="H46" s="47">
        <f t="shared" si="0"/>
        <v>6319</v>
      </c>
      <c r="J46" s="78"/>
      <c r="K46" s="78"/>
      <c r="L46" s="78"/>
      <c r="M46" s="111">
        <f t="shared" si="4"/>
        <v>900</v>
      </c>
      <c r="N46" s="101" t="s">
        <v>294</v>
      </c>
      <c r="O46" s="77" t="s">
        <v>353</v>
      </c>
      <c r="P46" s="77" t="s">
        <v>353</v>
      </c>
      <c r="R46" s="1"/>
    </row>
    <row r="47" spans="1:20" x14ac:dyDescent="0.2">
      <c r="A47" s="121"/>
      <c r="B47" s="17"/>
      <c r="C47" s="77"/>
      <c r="D47" s="17" t="s">
        <v>9</v>
      </c>
      <c r="E47" s="106" t="s">
        <v>280</v>
      </c>
      <c r="F47" s="24"/>
      <c r="G47" s="23">
        <v>730</v>
      </c>
      <c r="H47" s="47">
        <f t="shared" si="0"/>
        <v>5589</v>
      </c>
      <c r="J47" s="98">
        <f>G47</f>
        <v>730</v>
      </c>
      <c r="K47" s="78"/>
      <c r="L47" s="78"/>
      <c r="M47" s="101">
        <v>0</v>
      </c>
      <c r="N47" s="101"/>
      <c r="O47" s="77">
        <v>0</v>
      </c>
      <c r="P47" s="77">
        <f t="shared" si="1"/>
        <v>0</v>
      </c>
      <c r="R47" s="1"/>
    </row>
    <row r="48" spans="1:20" x14ac:dyDescent="0.2">
      <c r="A48" s="121"/>
      <c r="B48" s="86" t="s">
        <v>282</v>
      </c>
      <c r="C48" s="87" t="s">
        <v>7</v>
      </c>
      <c r="D48" s="57" t="s">
        <v>283</v>
      </c>
      <c r="E48" s="107" t="s">
        <v>289</v>
      </c>
      <c r="F48" s="88">
        <v>1000</v>
      </c>
      <c r="G48" s="32">
        <v>720</v>
      </c>
      <c r="H48" s="47">
        <f t="shared" si="0"/>
        <v>5869</v>
      </c>
      <c r="J48" s="98">
        <f>G48</f>
        <v>720</v>
      </c>
      <c r="K48" s="78"/>
      <c r="L48" s="78"/>
      <c r="M48" s="101">
        <v>0</v>
      </c>
      <c r="N48" s="101"/>
      <c r="O48" s="77">
        <v>0</v>
      </c>
      <c r="P48" s="77">
        <f t="shared" si="1"/>
        <v>0</v>
      </c>
      <c r="R48" s="1"/>
    </row>
    <row r="49" spans="1:18" x14ac:dyDescent="0.2">
      <c r="A49" s="122"/>
      <c r="B49" s="18"/>
      <c r="C49" s="76"/>
      <c r="D49" s="18"/>
      <c r="E49" s="90" t="s">
        <v>340</v>
      </c>
      <c r="F49" s="24"/>
      <c r="G49" s="114">
        <v>124</v>
      </c>
      <c r="H49" s="47">
        <f t="shared" si="0"/>
        <v>5745</v>
      </c>
      <c r="J49" s="78"/>
      <c r="K49" s="78"/>
      <c r="L49" s="78"/>
      <c r="M49" s="101">
        <v>0</v>
      </c>
      <c r="N49" s="101"/>
      <c r="O49" s="77">
        <v>0</v>
      </c>
      <c r="P49" s="77">
        <f t="shared" si="1"/>
        <v>0</v>
      </c>
      <c r="R49" s="1"/>
    </row>
    <row r="50" spans="1:18" x14ac:dyDescent="0.2">
      <c r="A50" s="44">
        <v>46127</v>
      </c>
      <c r="B50" s="18"/>
      <c r="C50" s="76"/>
      <c r="D50" s="18"/>
      <c r="E50" s="115" t="s">
        <v>311</v>
      </c>
      <c r="F50" s="24"/>
      <c r="G50" s="23">
        <v>1000</v>
      </c>
      <c r="H50" s="47">
        <f t="shared" si="0"/>
        <v>4745</v>
      </c>
      <c r="J50" s="78"/>
      <c r="K50" s="78"/>
      <c r="L50" s="94">
        <f t="shared" ref="L50:L51" si="5">G50</f>
        <v>1000</v>
      </c>
      <c r="M50" s="101">
        <v>0</v>
      </c>
      <c r="N50" s="101"/>
      <c r="O50" s="77">
        <v>0</v>
      </c>
      <c r="P50" s="77">
        <f t="shared" si="1"/>
        <v>0</v>
      </c>
      <c r="R50" s="1"/>
    </row>
    <row r="51" spans="1:18" x14ac:dyDescent="0.2">
      <c r="A51" s="120">
        <v>46128</v>
      </c>
      <c r="B51" s="17"/>
      <c r="C51" s="76"/>
      <c r="D51" s="18"/>
      <c r="E51" s="115" t="s">
        <v>317</v>
      </c>
      <c r="F51" s="24"/>
      <c r="G51" s="23">
        <v>168</v>
      </c>
      <c r="H51" s="47">
        <f t="shared" si="0"/>
        <v>4577</v>
      </c>
      <c r="J51" s="78"/>
      <c r="K51" s="78"/>
      <c r="L51" s="94">
        <f t="shared" si="5"/>
        <v>168</v>
      </c>
      <c r="M51" s="101">
        <v>0</v>
      </c>
      <c r="N51" s="101"/>
      <c r="O51" s="77">
        <v>0</v>
      </c>
      <c r="P51" s="77">
        <f t="shared" si="1"/>
        <v>0</v>
      </c>
      <c r="R51" s="1"/>
    </row>
    <row r="52" spans="1:18" ht="25.5" x14ac:dyDescent="0.2">
      <c r="A52" s="121"/>
      <c r="B52" s="18"/>
      <c r="C52" s="76"/>
      <c r="D52" s="18"/>
      <c r="E52" s="107" t="s">
        <v>281</v>
      </c>
      <c r="F52" s="24"/>
      <c r="G52" s="23">
        <v>2100</v>
      </c>
      <c r="H52" s="47">
        <f t="shared" si="0"/>
        <v>2477</v>
      </c>
      <c r="J52" s="98">
        <f>G52</f>
        <v>2100</v>
      </c>
      <c r="K52" s="78"/>
      <c r="L52" s="78"/>
      <c r="M52" s="101">
        <v>0</v>
      </c>
      <c r="N52" s="101"/>
      <c r="O52" s="77">
        <v>0</v>
      </c>
      <c r="P52" s="77">
        <f t="shared" si="1"/>
        <v>0</v>
      </c>
      <c r="R52" s="1"/>
    </row>
    <row r="53" spans="1:18" x14ac:dyDescent="0.2">
      <c r="A53" s="121"/>
      <c r="B53" s="18"/>
      <c r="C53" s="76"/>
      <c r="D53" s="18"/>
      <c r="E53" s="115" t="s">
        <v>290</v>
      </c>
      <c r="F53" s="24"/>
      <c r="G53" s="32">
        <v>30</v>
      </c>
      <c r="H53" s="47">
        <f t="shared" si="0"/>
        <v>2447</v>
      </c>
      <c r="J53" s="78"/>
      <c r="K53" s="78"/>
      <c r="L53" s="94">
        <f>G53</f>
        <v>30</v>
      </c>
      <c r="M53" s="101">
        <v>0</v>
      </c>
      <c r="N53" s="101"/>
      <c r="O53" s="77">
        <v>0</v>
      </c>
      <c r="P53" s="77">
        <f t="shared" si="1"/>
        <v>0</v>
      </c>
      <c r="R53" s="1"/>
    </row>
    <row r="54" spans="1:18" ht="25.5" x14ac:dyDescent="0.2">
      <c r="A54" s="121"/>
      <c r="B54" s="17"/>
      <c r="C54" s="76"/>
      <c r="D54" s="17"/>
      <c r="E54" s="91" t="s">
        <v>284</v>
      </c>
      <c r="F54" s="31">
        <v>2802</v>
      </c>
      <c r="G54" s="23">
        <v>0</v>
      </c>
      <c r="H54" s="47">
        <f t="shared" si="0"/>
        <v>5249</v>
      </c>
      <c r="J54" s="78"/>
      <c r="K54" s="78"/>
      <c r="L54" s="78"/>
      <c r="M54" s="101">
        <v>0</v>
      </c>
      <c r="N54" s="101"/>
      <c r="O54" s="77">
        <v>0</v>
      </c>
      <c r="P54" s="77">
        <f t="shared" si="1"/>
        <v>0</v>
      </c>
      <c r="R54" s="1"/>
    </row>
    <row r="55" spans="1:18" x14ac:dyDescent="0.2">
      <c r="A55" s="120">
        <v>46130</v>
      </c>
      <c r="B55" s="18"/>
      <c r="C55" s="76"/>
      <c r="D55" s="18"/>
      <c r="E55" s="109" t="s">
        <v>285</v>
      </c>
      <c r="F55" s="24"/>
      <c r="G55" s="23">
        <v>1200</v>
      </c>
      <c r="H55" s="47">
        <f t="shared" si="0"/>
        <v>4049</v>
      </c>
      <c r="J55" s="78"/>
      <c r="K55" s="78"/>
      <c r="L55" s="78"/>
      <c r="M55" s="111">
        <f t="shared" ref="M55:M56" si="6">G55</f>
        <v>1200</v>
      </c>
      <c r="N55" s="101" t="s">
        <v>301</v>
      </c>
      <c r="O55" s="77" t="s">
        <v>353</v>
      </c>
      <c r="P55" s="77" t="s">
        <v>353</v>
      </c>
      <c r="R55" s="1"/>
    </row>
    <row r="56" spans="1:18" x14ac:dyDescent="0.2">
      <c r="A56" s="121"/>
      <c r="B56" s="17"/>
      <c r="C56" s="76"/>
      <c r="D56" s="17"/>
      <c r="E56" s="109" t="s">
        <v>286</v>
      </c>
      <c r="F56" s="24"/>
      <c r="G56" s="23">
        <v>450</v>
      </c>
      <c r="H56" s="47">
        <f t="shared" si="0"/>
        <v>3599</v>
      </c>
      <c r="J56" s="78"/>
      <c r="K56" s="78"/>
      <c r="L56" s="78"/>
      <c r="M56" s="111">
        <f t="shared" si="6"/>
        <v>450</v>
      </c>
      <c r="N56" s="101" t="s">
        <v>301</v>
      </c>
      <c r="O56" s="77" t="s">
        <v>353</v>
      </c>
      <c r="P56" s="77" t="s">
        <v>353</v>
      </c>
      <c r="R56" s="1"/>
    </row>
    <row r="57" spans="1:18" x14ac:dyDescent="0.2">
      <c r="A57" s="121"/>
      <c r="B57" s="18"/>
      <c r="C57" s="76"/>
      <c r="D57" s="17" t="s">
        <v>9</v>
      </c>
      <c r="E57" s="90" t="s">
        <v>287</v>
      </c>
      <c r="F57" s="24">
        <v>0</v>
      </c>
      <c r="G57" s="116">
        <v>104</v>
      </c>
      <c r="H57" s="47">
        <f t="shared" si="0"/>
        <v>3495</v>
      </c>
      <c r="J57" s="78"/>
      <c r="K57" s="78"/>
      <c r="L57" s="78"/>
      <c r="M57" s="101">
        <v>0</v>
      </c>
      <c r="N57" s="101"/>
      <c r="O57" s="77">
        <v>0</v>
      </c>
      <c r="P57" s="77">
        <f t="shared" si="1"/>
        <v>0</v>
      </c>
      <c r="R57" s="1"/>
    </row>
    <row r="58" spans="1:18" ht="25.5" x14ac:dyDescent="0.2">
      <c r="A58" s="121"/>
      <c r="B58" s="17"/>
      <c r="C58" s="76"/>
      <c r="D58" s="17"/>
      <c r="E58" s="107" t="s">
        <v>288</v>
      </c>
      <c r="F58" s="24">
        <v>0</v>
      </c>
      <c r="G58" s="23">
        <v>1950</v>
      </c>
      <c r="H58" s="47">
        <f t="shared" si="0"/>
        <v>1545</v>
      </c>
      <c r="J58" s="98">
        <f>G58</f>
        <v>1950</v>
      </c>
      <c r="K58" s="78"/>
      <c r="L58" s="78"/>
      <c r="M58" s="101">
        <v>0</v>
      </c>
      <c r="N58" s="101"/>
      <c r="O58" s="77">
        <v>0</v>
      </c>
      <c r="P58" s="77">
        <f t="shared" si="1"/>
        <v>0</v>
      </c>
      <c r="R58" s="1"/>
    </row>
    <row r="59" spans="1:18" x14ac:dyDescent="0.2">
      <c r="A59" s="83">
        <v>46131</v>
      </c>
      <c r="B59" s="18"/>
      <c r="C59" s="76"/>
      <c r="D59" s="18"/>
      <c r="E59" s="115" t="s">
        <v>309</v>
      </c>
      <c r="F59" s="24"/>
      <c r="G59" s="23">
        <v>64</v>
      </c>
      <c r="H59" s="47">
        <f t="shared" si="0"/>
        <v>1481</v>
      </c>
      <c r="J59" s="78"/>
      <c r="K59" s="78"/>
      <c r="L59" s="94">
        <f>G59</f>
        <v>64</v>
      </c>
      <c r="M59" s="101">
        <v>0</v>
      </c>
      <c r="N59" s="101"/>
      <c r="O59" s="77">
        <v>0</v>
      </c>
      <c r="P59" s="77">
        <f t="shared" si="1"/>
        <v>0</v>
      </c>
      <c r="R59" s="1"/>
    </row>
    <row r="60" spans="1:18" x14ac:dyDescent="0.2">
      <c r="A60" s="120">
        <v>46132</v>
      </c>
      <c r="B60" s="25" t="s">
        <v>261</v>
      </c>
      <c r="C60" s="77" t="s">
        <v>25</v>
      </c>
      <c r="D60" s="11" t="s">
        <v>262</v>
      </c>
      <c r="E60" s="115" t="s">
        <v>318</v>
      </c>
      <c r="F60" s="24">
        <v>5000</v>
      </c>
      <c r="G60" s="23">
        <v>32</v>
      </c>
      <c r="H60" s="47">
        <f t="shared" si="0"/>
        <v>6449</v>
      </c>
      <c r="J60" s="78"/>
      <c r="K60" s="78"/>
      <c r="L60" s="78"/>
      <c r="M60" s="101">
        <v>0</v>
      </c>
      <c r="N60" s="101"/>
      <c r="O60" s="77">
        <v>0</v>
      </c>
      <c r="P60" s="77">
        <f t="shared" si="1"/>
        <v>0</v>
      </c>
      <c r="R60" s="1"/>
    </row>
    <row r="61" spans="1:18" x14ac:dyDescent="0.2">
      <c r="A61" s="121"/>
      <c r="B61" s="18"/>
      <c r="C61" s="76"/>
      <c r="D61" s="18"/>
      <c r="E61" s="109" t="s">
        <v>347</v>
      </c>
      <c r="F61" s="24"/>
      <c r="G61" s="23">
        <v>152</v>
      </c>
      <c r="H61" s="47">
        <f t="shared" si="0"/>
        <v>6297</v>
      </c>
      <c r="J61" s="78"/>
      <c r="K61" s="78"/>
      <c r="L61" s="78"/>
      <c r="M61" s="111">
        <f t="shared" ref="M61" si="7">G61</f>
        <v>152</v>
      </c>
      <c r="N61" s="101" t="s">
        <v>343</v>
      </c>
      <c r="O61" s="77">
        <v>2000</v>
      </c>
      <c r="P61" s="77">
        <f t="shared" si="1"/>
        <v>-1848</v>
      </c>
      <c r="R61" s="1"/>
    </row>
    <row r="62" spans="1:18" x14ac:dyDescent="0.2">
      <c r="A62" s="121"/>
      <c r="B62" s="10"/>
      <c r="C62" s="78"/>
      <c r="D62" s="10"/>
      <c r="E62" s="109" t="s">
        <v>345</v>
      </c>
      <c r="F62" s="24"/>
      <c r="G62" s="23">
        <v>447</v>
      </c>
      <c r="H62" s="47">
        <f t="shared" si="0"/>
        <v>5850</v>
      </c>
      <c r="J62" s="78"/>
      <c r="K62" s="78"/>
      <c r="L62" s="78"/>
      <c r="M62" s="111">
        <f t="shared" ref="M62:M80" si="8">G62</f>
        <v>447</v>
      </c>
      <c r="N62" s="101" t="s">
        <v>344</v>
      </c>
      <c r="O62" s="77">
        <v>0</v>
      </c>
      <c r="P62" s="77">
        <f t="shared" si="1"/>
        <v>447</v>
      </c>
      <c r="R62" s="1"/>
    </row>
    <row r="63" spans="1:18" x14ac:dyDescent="0.2">
      <c r="A63" s="121"/>
      <c r="B63" s="10"/>
      <c r="C63" s="78"/>
      <c r="D63" s="10"/>
      <c r="E63" s="109" t="s">
        <v>346</v>
      </c>
      <c r="F63" s="24"/>
      <c r="G63" s="23">
        <v>74</v>
      </c>
      <c r="H63" s="47">
        <f t="shared" si="0"/>
        <v>5776</v>
      </c>
      <c r="J63" s="78"/>
      <c r="K63" s="78"/>
      <c r="L63" s="78"/>
      <c r="M63" s="111">
        <f t="shared" si="8"/>
        <v>74</v>
      </c>
      <c r="N63" s="101"/>
      <c r="O63" s="77">
        <v>0</v>
      </c>
      <c r="P63" s="77">
        <f t="shared" si="1"/>
        <v>74</v>
      </c>
      <c r="R63" s="1"/>
    </row>
    <row r="64" spans="1:18" x14ac:dyDescent="0.2">
      <c r="A64" s="121"/>
      <c r="B64" s="10"/>
      <c r="C64" s="78"/>
      <c r="D64" s="10"/>
      <c r="E64" s="91" t="s">
        <v>341</v>
      </c>
      <c r="F64" s="24"/>
      <c r="G64" s="23">
        <v>140</v>
      </c>
      <c r="H64" s="47">
        <f t="shared" si="0"/>
        <v>5636</v>
      </c>
      <c r="J64" s="78"/>
      <c r="K64" s="78"/>
      <c r="L64" s="94">
        <f>G64</f>
        <v>140</v>
      </c>
      <c r="M64" s="101">
        <v>0</v>
      </c>
      <c r="N64" s="101" t="s">
        <v>342</v>
      </c>
      <c r="O64" s="77">
        <v>0</v>
      </c>
      <c r="P64" s="77">
        <f t="shared" si="1"/>
        <v>0</v>
      </c>
      <c r="R64" s="1"/>
    </row>
    <row r="65" spans="1:18" x14ac:dyDescent="0.2">
      <c r="A65" s="121"/>
      <c r="B65" s="10"/>
      <c r="C65" s="78"/>
      <c r="D65" s="10"/>
      <c r="E65" s="109" t="s">
        <v>348</v>
      </c>
      <c r="F65" s="24"/>
      <c r="G65" s="23">
        <v>340</v>
      </c>
      <c r="H65" s="47">
        <f t="shared" si="0"/>
        <v>5296</v>
      </c>
      <c r="J65" s="78"/>
      <c r="K65" s="78"/>
      <c r="L65" s="78"/>
      <c r="M65" s="111">
        <f t="shared" si="8"/>
        <v>340</v>
      </c>
      <c r="N65" s="101" t="s">
        <v>294</v>
      </c>
      <c r="O65" s="77" t="s">
        <v>353</v>
      </c>
      <c r="P65" s="77" t="s">
        <v>353</v>
      </c>
      <c r="R65" s="1"/>
    </row>
    <row r="66" spans="1:18" x14ac:dyDescent="0.2">
      <c r="A66" s="121"/>
      <c r="B66" s="10"/>
      <c r="C66" s="78"/>
      <c r="D66" s="10"/>
      <c r="E66" s="109" t="s">
        <v>352</v>
      </c>
      <c r="F66" s="24"/>
      <c r="G66" s="23">
        <v>157</v>
      </c>
      <c r="H66" s="47">
        <f t="shared" si="0"/>
        <v>5139</v>
      </c>
      <c r="J66" s="78"/>
      <c r="K66" s="78"/>
      <c r="L66" s="78"/>
      <c r="M66" s="111">
        <f t="shared" si="8"/>
        <v>157</v>
      </c>
      <c r="N66" s="101" t="s">
        <v>350</v>
      </c>
      <c r="O66" s="77">
        <v>0</v>
      </c>
      <c r="P66" s="77">
        <f t="shared" si="1"/>
        <v>157</v>
      </c>
      <c r="R66" s="1"/>
    </row>
    <row r="67" spans="1:18" x14ac:dyDescent="0.2">
      <c r="A67" s="121">
        <v>46133</v>
      </c>
      <c r="B67" s="18"/>
      <c r="C67" s="76"/>
      <c r="D67" s="18"/>
      <c r="E67" s="109" t="s">
        <v>349</v>
      </c>
      <c r="F67" s="24"/>
      <c r="G67" s="23">
        <v>145</v>
      </c>
      <c r="H67" s="47">
        <f t="shared" si="0"/>
        <v>4994</v>
      </c>
      <c r="J67" s="78"/>
      <c r="K67" s="78"/>
      <c r="L67" s="78"/>
      <c r="M67" s="111">
        <f t="shared" si="8"/>
        <v>145</v>
      </c>
      <c r="N67" s="101" t="s">
        <v>342</v>
      </c>
      <c r="O67" s="77">
        <v>0</v>
      </c>
      <c r="P67" s="77">
        <f t="shared" si="1"/>
        <v>145</v>
      </c>
      <c r="R67" s="1"/>
    </row>
    <row r="68" spans="1:18" ht="25.5" x14ac:dyDescent="0.2">
      <c r="A68" s="121"/>
      <c r="B68" s="18"/>
      <c r="C68" s="76"/>
      <c r="D68" s="18"/>
      <c r="E68" s="118" t="s">
        <v>351</v>
      </c>
      <c r="F68" s="117"/>
      <c r="G68" s="23">
        <v>1000</v>
      </c>
      <c r="H68" s="47">
        <f t="shared" si="0"/>
        <v>3994</v>
      </c>
      <c r="J68" s="78"/>
      <c r="K68" s="78"/>
      <c r="L68" s="78"/>
      <c r="M68" s="111">
        <f t="shared" si="8"/>
        <v>1000</v>
      </c>
      <c r="N68" s="78" t="s">
        <v>370</v>
      </c>
      <c r="O68" s="77">
        <v>0</v>
      </c>
      <c r="P68" s="77">
        <f t="shared" si="1"/>
        <v>1000</v>
      </c>
      <c r="R68" s="1"/>
    </row>
    <row r="69" spans="1:18" x14ac:dyDescent="0.2">
      <c r="A69" s="121"/>
      <c r="B69" s="18"/>
      <c r="C69" s="76"/>
      <c r="D69" s="18"/>
      <c r="E69" s="118" t="s">
        <v>354</v>
      </c>
      <c r="F69" s="24"/>
      <c r="G69" s="23">
        <v>800</v>
      </c>
      <c r="H69" s="47">
        <f t="shared" si="0"/>
        <v>3194</v>
      </c>
      <c r="J69" s="78"/>
      <c r="K69" s="78"/>
      <c r="L69" s="78"/>
      <c r="M69" s="111">
        <f t="shared" si="8"/>
        <v>800</v>
      </c>
      <c r="N69" s="101" t="s">
        <v>294</v>
      </c>
      <c r="O69" s="77">
        <v>0</v>
      </c>
      <c r="P69" s="77">
        <f t="shared" ref="P69:P112" si="9">+M69-O69</f>
        <v>800</v>
      </c>
      <c r="R69" s="1"/>
    </row>
    <row r="70" spans="1:18" x14ac:dyDescent="0.2">
      <c r="A70" s="121"/>
      <c r="B70" s="18"/>
      <c r="C70" s="76"/>
      <c r="D70" s="18"/>
      <c r="E70" s="118" t="s">
        <v>355</v>
      </c>
      <c r="F70" s="24"/>
      <c r="G70" s="23">
        <v>13</v>
      </c>
      <c r="H70" s="47">
        <f t="shared" ref="H70:H112" si="10">H69+F70-G70</f>
        <v>3181</v>
      </c>
      <c r="J70" s="78"/>
      <c r="K70" s="78"/>
      <c r="L70" s="78"/>
      <c r="M70" s="111">
        <f t="shared" si="8"/>
        <v>13</v>
      </c>
      <c r="N70" s="101" t="s">
        <v>356</v>
      </c>
      <c r="O70" s="77">
        <v>0</v>
      </c>
      <c r="P70" s="77">
        <f t="shared" si="9"/>
        <v>13</v>
      </c>
      <c r="R70" s="1"/>
    </row>
    <row r="71" spans="1:18" x14ac:dyDescent="0.2">
      <c r="A71" s="121"/>
      <c r="B71" s="18"/>
      <c r="C71" s="76"/>
      <c r="D71" s="18"/>
      <c r="E71" s="118" t="s">
        <v>355</v>
      </c>
      <c r="F71" s="24"/>
      <c r="G71" s="23">
        <v>120</v>
      </c>
      <c r="H71" s="47">
        <f t="shared" si="10"/>
        <v>3061</v>
      </c>
      <c r="J71" s="78"/>
      <c r="K71" s="78"/>
      <c r="L71" s="78"/>
      <c r="M71" s="111">
        <f t="shared" si="8"/>
        <v>120</v>
      </c>
      <c r="N71" s="101" t="s">
        <v>356</v>
      </c>
      <c r="O71" s="77">
        <v>0</v>
      </c>
      <c r="P71" s="77">
        <f t="shared" si="9"/>
        <v>120</v>
      </c>
      <c r="R71" s="1"/>
    </row>
    <row r="72" spans="1:18" x14ac:dyDescent="0.2">
      <c r="A72" s="121"/>
      <c r="B72" s="18"/>
      <c r="C72" s="76"/>
      <c r="D72" s="18"/>
      <c r="E72" s="118" t="s">
        <v>358</v>
      </c>
      <c r="F72" s="24"/>
      <c r="G72" s="23">
        <v>345</v>
      </c>
      <c r="H72" s="47">
        <f t="shared" si="10"/>
        <v>2716</v>
      </c>
      <c r="J72" s="78"/>
      <c r="K72" s="78"/>
      <c r="L72" s="78"/>
      <c r="M72" s="111">
        <f t="shared" si="8"/>
        <v>345</v>
      </c>
      <c r="N72" s="101" t="s">
        <v>357</v>
      </c>
      <c r="O72" s="77">
        <v>0</v>
      </c>
      <c r="P72" s="77">
        <f t="shared" si="9"/>
        <v>345</v>
      </c>
      <c r="R72" s="1"/>
    </row>
    <row r="73" spans="1:18" ht="15" customHeight="1" x14ac:dyDescent="0.2">
      <c r="A73" s="121">
        <v>46134</v>
      </c>
      <c r="B73" s="18"/>
      <c r="C73" s="76"/>
      <c r="D73" s="18"/>
      <c r="E73" s="115" t="s">
        <v>270</v>
      </c>
      <c r="F73" s="24"/>
      <c r="G73" s="23">
        <v>210</v>
      </c>
      <c r="H73" s="47">
        <f t="shared" si="10"/>
        <v>2506</v>
      </c>
      <c r="J73" s="78"/>
      <c r="K73" s="78"/>
      <c r="L73" s="94">
        <f>G73</f>
        <v>210</v>
      </c>
      <c r="M73" s="101">
        <v>0</v>
      </c>
      <c r="N73" s="101"/>
      <c r="O73" s="77">
        <v>0</v>
      </c>
      <c r="P73" s="77">
        <f t="shared" si="9"/>
        <v>0</v>
      </c>
      <c r="R73" s="1"/>
    </row>
    <row r="74" spans="1:18" ht="15" customHeight="1" x14ac:dyDescent="0.2">
      <c r="A74" s="122"/>
      <c r="B74" s="17"/>
      <c r="C74" s="76"/>
      <c r="D74" s="86" t="s">
        <v>283</v>
      </c>
      <c r="E74" s="118" t="s">
        <v>368</v>
      </c>
      <c r="F74" s="24"/>
      <c r="G74" s="23">
        <v>1300</v>
      </c>
      <c r="H74" s="47">
        <f t="shared" si="10"/>
        <v>1206</v>
      </c>
      <c r="J74" s="78"/>
      <c r="K74" s="78"/>
      <c r="L74" s="78"/>
      <c r="M74" s="111">
        <f t="shared" si="8"/>
        <v>1300</v>
      </c>
      <c r="N74" s="101" t="s">
        <v>369</v>
      </c>
      <c r="O74" s="77">
        <v>0</v>
      </c>
      <c r="P74" s="77">
        <f t="shared" si="9"/>
        <v>1300</v>
      </c>
      <c r="R74" s="1"/>
    </row>
    <row r="75" spans="1:18" ht="15" customHeight="1" x14ac:dyDescent="0.2">
      <c r="A75" s="120">
        <v>46135</v>
      </c>
      <c r="B75" s="18" t="s">
        <v>375</v>
      </c>
      <c r="C75" s="76" t="s">
        <v>7</v>
      </c>
      <c r="D75" s="11" t="s">
        <v>262</v>
      </c>
      <c r="E75" s="118" t="s">
        <v>366</v>
      </c>
      <c r="F75" s="24">
        <v>500</v>
      </c>
      <c r="G75" s="23">
        <v>127</v>
      </c>
      <c r="H75" s="47">
        <f t="shared" si="10"/>
        <v>1579</v>
      </c>
      <c r="J75" s="78"/>
      <c r="K75" s="78"/>
      <c r="L75" s="78"/>
      <c r="M75" s="111">
        <f t="shared" si="8"/>
        <v>127</v>
      </c>
      <c r="N75" s="101" t="s">
        <v>367</v>
      </c>
      <c r="O75" s="77">
        <v>0</v>
      </c>
      <c r="P75" s="77">
        <f t="shared" si="9"/>
        <v>127</v>
      </c>
      <c r="R75" s="1"/>
    </row>
    <row r="76" spans="1:18" ht="15" customHeight="1" x14ac:dyDescent="0.2">
      <c r="A76" s="121"/>
      <c r="B76" s="18"/>
      <c r="C76" s="76"/>
      <c r="D76" s="18"/>
      <c r="E76" s="118" t="s">
        <v>359</v>
      </c>
      <c r="F76" s="24"/>
      <c r="G76" s="23">
        <v>190</v>
      </c>
      <c r="H76" s="47">
        <f t="shared" si="10"/>
        <v>1389</v>
      </c>
      <c r="J76" s="78"/>
      <c r="K76" s="78"/>
      <c r="L76" s="78"/>
      <c r="M76" s="111">
        <f t="shared" si="8"/>
        <v>190</v>
      </c>
      <c r="N76" s="101" t="s">
        <v>360</v>
      </c>
      <c r="O76" s="77">
        <v>0</v>
      </c>
      <c r="P76" s="77">
        <f t="shared" si="9"/>
        <v>190</v>
      </c>
      <c r="R76" s="1"/>
    </row>
    <row r="77" spans="1:18" ht="15" customHeight="1" thickBot="1" x14ac:dyDescent="0.25">
      <c r="A77" s="83">
        <v>46136</v>
      </c>
      <c r="B77" s="18"/>
      <c r="C77" s="18"/>
      <c r="D77" s="18"/>
      <c r="E77" s="115" t="s">
        <v>361</v>
      </c>
      <c r="F77" s="75"/>
      <c r="G77" s="54">
        <v>82</v>
      </c>
      <c r="H77" s="47">
        <f t="shared" si="10"/>
        <v>1307</v>
      </c>
      <c r="J77" s="78"/>
      <c r="K77" s="78"/>
      <c r="L77" s="94">
        <f>G77</f>
        <v>82</v>
      </c>
      <c r="M77" s="101">
        <v>0</v>
      </c>
      <c r="N77" s="101"/>
      <c r="O77" s="77">
        <v>0</v>
      </c>
      <c r="P77" s="77">
        <f t="shared" si="9"/>
        <v>0</v>
      </c>
      <c r="R77" s="1"/>
    </row>
    <row r="78" spans="1:18" ht="16.5" thickBot="1" x14ac:dyDescent="0.25">
      <c r="A78" s="120">
        <v>46136</v>
      </c>
      <c r="B78" s="51"/>
      <c r="C78" s="79"/>
      <c r="D78" s="51"/>
      <c r="E78" s="115" t="s">
        <v>362</v>
      </c>
      <c r="F78" s="75"/>
      <c r="G78" s="54">
        <v>650</v>
      </c>
      <c r="H78" s="55">
        <f t="shared" si="10"/>
        <v>657</v>
      </c>
      <c r="I78" s="119" t="s">
        <v>9</v>
      </c>
      <c r="J78" s="78"/>
      <c r="K78" s="78"/>
      <c r="L78" s="78"/>
      <c r="M78" s="111">
        <f t="shared" si="8"/>
        <v>650</v>
      </c>
      <c r="N78" s="101"/>
      <c r="O78" s="77">
        <v>0</v>
      </c>
      <c r="P78" s="77">
        <f t="shared" si="9"/>
        <v>650</v>
      </c>
      <c r="R78" s="1"/>
    </row>
    <row r="79" spans="1:18" ht="15.75" x14ac:dyDescent="0.2">
      <c r="A79" s="121"/>
      <c r="B79" s="59"/>
      <c r="C79" s="80"/>
      <c r="D79" s="59"/>
      <c r="E79" s="118" t="s">
        <v>363</v>
      </c>
      <c r="F79" s="68"/>
      <c r="G79" s="61">
        <v>451</v>
      </c>
      <c r="H79" s="60">
        <f t="shared" si="10"/>
        <v>206</v>
      </c>
      <c r="I79" s="129"/>
      <c r="J79" s="92"/>
      <c r="K79" s="92"/>
      <c r="L79" s="92"/>
      <c r="M79" s="111">
        <f t="shared" si="8"/>
        <v>451</v>
      </c>
      <c r="N79" s="7"/>
      <c r="O79" s="77">
        <v>0</v>
      </c>
      <c r="P79" s="77">
        <f t="shared" si="9"/>
        <v>451</v>
      </c>
      <c r="R79" s="1"/>
    </row>
    <row r="80" spans="1:18" x14ac:dyDescent="0.2">
      <c r="A80" s="122"/>
      <c r="B80" s="18"/>
      <c r="C80" s="76"/>
      <c r="D80" s="18"/>
      <c r="E80" s="118" t="s">
        <v>364</v>
      </c>
      <c r="F80" s="24"/>
      <c r="G80" s="23">
        <v>600</v>
      </c>
      <c r="H80" s="24">
        <f t="shared" si="10"/>
        <v>-394</v>
      </c>
      <c r="J80" s="89"/>
      <c r="K80" s="89"/>
      <c r="L80" s="89"/>
      <c r="M80" s="111">
        <f t="shared" si="8"/>
        <v>600</v>
      </c>
      <c r="N80" s="11" t="s">
        <v>365</v>
      </c>
      <c r="O80" s="77">
        <v>0</v>
      </c>
      <c r="P80" s="77">
        <f t="shared" si="9"/>
        <v>600</v>
      </c>
      <c r="R80" s="1"/>
    </row>
    <row r="81" spans="1:18" x14ac:dyDescent="0.2">
      <c r="A81" s="83">
        <v>46137</v>
      </c>
      <c r="B81" s="18"/>
      <c r="C81" s="76"/>
      <c r="D81" s="18"/>
      <c r="E81" s="115" t="s">
        <v>361</v>
      </c>
      <c r="F81" s="24"/>
      <c r="G81" s="23">
        <v>128</v>
      </c>
      <c r="H81" s="24">
        <f t="shared" si="10"/>
        <v>-522</v>
      </c>
      <c r="J81" s="89"/>
      <c r="K81" s="89"/>
      <c r="L81" s="94">
        <f>G81</f>
        <v>128</v>
      </c>
      <c r="M81" s="77">
        <v>0</v>
      </c>
      <c r="N81" s="11"/>
      <c r="O81" s="77">
        <v>0</v>
      </c>
      <c r="P81" s="77">
        <f t="shared" si="9"/>
        <v>0</v>
      </c>
      <c r="R81" s="1"/>
    </row>
    <row r="82" spans="1:18" x14ac:dyDescent="0.2">
      <c r="A82" s="83">
        <v>46139</v>
      </c>
      <c r="B82" s="18"/>
      <c r="C82" s="76"/>
      <c r="D82" s="18"/>
      <c r="E82" s="115" t="s">
        <v>361</v>
      </c>
      <c r="F82" s="24"/>
      <c r="G82" s="23">
        <v>183</v>
      </c>
      <c r="H82" s="24">
        <f t="shared" si="10"/>
        <v>-705</v>
      </c>
      <c r="J82" s="89"/>
      <c r="K82" s="89"/>
      <c r="L82" s="94">
        <f>G82</f>
        <v>183</v>
      </c>
      <c r="M82" s="77">
        <v>0</v>
      </c>
      <c r="N82" s="11"/>
      <c r="O82" s="77">
        <v>0</v>
      </c>
      <c r="P82" s="77">
        <f t="shared" si="9"/>
        <v>0</v>
      </c>
      <c r="R82" s="1"/>
    </row>
    <row r="83" spans="1:18" ht="25.5" x14ac:dyDescent="0.2">
      <c r="A83" s="83" t="s">
        <v>9</v>
      </c>
      <c r="B83" s="18"/>
      <c r="C83" s="76"/>
      <c r="D83" s="18"/>
      <c r="E83" s="106" t="s">
        <v>371</v>
      </c>
      <c r="F83" s="24"/>
      <c r="G83" s="23">
        <v>656</v>
      </c>
      <c r="H83" s="24">
        <f t="shared" si="10"/>
        <v>-1361</v>
      </c>
      <c r="J83" s="89"/>
      <c r="K83" s="96">
        <f>G83</f>
        <v>656</v>
      </c>
      <c r="L83" s="89"/>
      <c r="M83" s="77">
        <v>0</v>
      </c>
      <c r="N83" s="11"/>
      <c r="O83" s="77">
        <v>0</v>
      </c>
      <c r="P83" s="77">
        <f t="shared" si="9"/>
        <v>0</v>
      </c>
      <c r="Q83" s="93" t="s">
        <v>373</v>
      </c>
      <c r="R83" s="1"/>
    </row>
    <row r="84" spans="1:18" x14ac:dyDescent="0.2">
      <c r="A84" s="82"/>
      <c r="B84" s="18"/>
      <c r="C84" s="76"/>
      <c r="D84" s="18"/>
      <c r="E84" s="115" t="s">
        <v>372</v>
      </c>
      <c r="F84" s="24"/>
      <c r="G84" s="23">
        <v>1000</v>
      </c>
      <c r="H84" s="24">
        <f t="shared" si="10"/>
        <v>-2361</v>
      </c>
      <c r="J84" s="89"/>
      <c r="K84" s="89"/>
      <c r="L84" s="94">
        <f>G84</f>
        <v>1000</v>
      </c>
      <c r="M84" s="77">
        <v>0</v>
      </c>
      <c r="N84" s="11"/>
      <c r="O84" s="77">
        <v>0</v>
      </c>
      <c r="P84" s="77">
        <f t="shared" si="9"/>
        <v>0</v>
      </c>
      <c r="R84" s="1"/>
    </row>
    <row r="85" spans="1:18" x14ac:dyDescent="0.2">
      <c r="A85" s="20"/>
      <c r="B85" s="18"/>
      <c r="C85" s="76"/>
      <c r="D85" s="18"/>
      <c r="E85" s="115" t="s">
        <v>374</v>
      </c>
      <c r="F85" s="24"/>
      <c r="G85" s="23">
        <v>271</v>
      </c>
      <c r="H85" s="24">
        <f t="shared" si="10"/>
        <v>-2632</v>
      </c>
      <c r="J85" s="89"/>
      <c r="K85" s="89"/>
      <c r="L85" s="94">
        <f>G85</f>
        <v>271</v>
      </c>
      <c r="M85" s="77">
        <v>0</v>
      </c>
      <c r="N85" s="11"/>
      <c r="O85" s="77">
        <v>0</v>
      </c>
      <c r="P85" s="77">
        <f t="shared" si="9"/>
        <v>0</v>
      </c>
      <c r="R85" s="1"/>
    </row>
    <row r="86" spans="1:18" x14ac:dyDescent="0.2">
      <c r="A86" s="20"/>
      <c r="B86" s="18"/>
      <c r="C86" s="76"/>
      <c r="D86" s="18"/>
      <c r="E86" s="91" t="s">
        <v>291</v>
      </c>
      <c r="F86" s="24"/>
      <c r="G86" s="23">
        <v>656</v>
      </c>
      <c r="H86" s="24">
        <f t="shared" si="10"/>
        <v>-3288</v>
      </c>
      <c r="J86" s="89"/>
      <c r="K86" s="89"/>
      <c r="L86" s="89"/>
      <c r="M86" s="77">
        <v>0</v>
      </c>
      <c r="N86" s="11"/>
      <c r="O86" s="77">
        <v>0</v>
      </c>
      <c r="P86" s="77">
        <f t="shared" si="9"/>
        <v>0</v>
      </c>
      <c r="R86" s="1"/>
    </row>
    <row r="87" spans="1:18" x14ac:dyDescent="0.2">
      <c r="A87" s="20"/>
      <c r="B87" s="18"/>
      <c r="C87" s="76"/>
      <c r="D87" s="18"/>
      <c r="E87" s="89"/>
      <c r="F87" s="24"/>
      <c r="G87" s="23">
        <v>0</v>
      </c>
      <c r="H87" s="24">
        <f t="shared" si="10"/>
        <v>-3288</v>
      </c>
      <c r="J87" s="89"/>
      <c r="K87" s="89"/>
      <c r="L87" s="89"/>
      <c r="M87" s="77">
        <v>0</v>
      </c>
      <c r="N87" s="11"/>
      <c r="O87" s="77">
        <v>0</v>
      </c>
      <c r="P87" s="77">
        <f t="shared" si="9"/>
        <v>0</v>
      </c>
      <c r="R87" s="1"/>
    </row>
    <row r="88" spans="1:18" x14ac:dyDescent="0.2">
      <c r="A88" s="20"/>
      <c r="B88" s="18"/>
      <c r="C88" s="76"/>
      <c r="D88" s="18"/>
      <c r="E88" s="89"/>
      <c r="F88" s="24"/>
      <c r="G88" s="23">
        <v>0</v>
      </c>
      <c r="H88" s="24">
        <f t="shared" si="10"/>
        <v>-3288</v>
      </c>
      <c r="J88" s="89"/>
      <c r="K88" s="89"/>
      <c r="L88" s="89"/>
      <c r="M88" s="77">
        <v>0</v>
      </c>
      <c r="N88" s="11"/>
      <c r="O88" s="77">
        <v>0</v>
      </c>
      <c r="P88" s="77">
        <f t="shared" si="9"/>
        <v>0</v>
      </c>
      <c r="R88" s="1"/>
    </row>
    <row r="89" spans="1:18" x14ac:dyDescent="0.2">
      <c r="A89" s="20"/>
      <c r="B89" s="18"/>
      <c r="C89" s="76"/>
      <c r="D89" s="18"/>
      <c r="E89" s="89"/>
      <c r="F89" s="24"/>
      <c r="G89" s="23">
        <v>0</v>
      </c>
      <c r="H89" s="24">
        <f t="shared" si="10"/>
        <v>-3288</v>
      </c>
      <c r="J89" s="89"/>
      <c r="K89" s="89"/>
      <c r="L89" s="89"/>
      <c r="M89" s="77">
        <v>0</v>
      </c>
      <c r="N89" s="11"/>
      <c r="O89" s="77">
        <v>0</v>
      </c>
      <c r="P89" s="77">
        <f t="shared" si="9"/>
        <v>0</v>
      </c>
      <c r="R89" s="1"/>
    </row>
    <row r="90" spans="1:18" x14ac:dyDescent="0.2">
      <c r="A90" s="20"/>
      <c r="B90" s="18"/>
      <c r="C90" s="76"/>
      <c r="D90" s="18"/>
      <c r="E90" s="89"/>
      <c r="F90" s="24"/>
      <c r="G90" s="23">
        <v>0</v>
      </c>
      <c r="H90" s="24">
        <f t="shared" si="10"/>
        <v>-3288</v>
      </c>
      <c r="J90" s="89"/>
      <c r="K90" s="89"/>
      <c r="L90" s="89"/>
      <c r="M90" s="77">
        <v>0</v>
      </c>
      <c r="N90" s="11"/>
      <c r="O90" s="77">
        <v>0</v>
      </c>
      <c r="P90" s="77">
        <f t="shared" si="9"/>
        <v>0</v>
      </c>
      <c r="R90" s="1"/>
    </row>
    <row r="91" spans="1:18" x14ac:dyDescent="0.2">
      <c r="A91" s="20"/>
      <c r="B91" s="18"/>
      <c r="C91" s="76"/>
      <c r="D91" s="18"/>
      <c r="E91" s="89"/>
      <c r="F91" s="24"/>
      <c r="G91" s="23"/>
      <c r="H91" s="24">
        <f t="shared" si="10"/>
        <v>-3288</v>
      </c>
      <c r="J91" s="89"/>
      <c r="K91" s="89"/>
      <c r="L91" s="89"/>
      <c r="M91" s="77">
        <v>0</v>
      </c>
      <c r="N91" s="11"/>
      <c r="O91" s="77">
        <v>0</v>
      </c>
      <c r="P91" s="77">
        <f t="shared" si="9"/>
        <v>0</v>
      </c>
      <c r="R91" s="1"/>
    </row>
    <row r="92" spans="1:18" x14ac:dyDescent="0.2">
      <c r="A92" s="20"/>
      <c r="B92" s="18"/>
      <c r="C92" s="76"/>
      <c r="D92" s="18"/>
      <c r="E92" s="89"/>
      <c r="F92" s="24"/>
      <c r="G92" s="23"/>
      <c r="H92" s="24">
        <f t="shared" si="10"/>
        <v>-3288</v>
      </c>
      <c r="J92" s="89"/>
      <c r="K92" s="89"/>
      <c r="L92" s="89"/>
      <c r="M92" s="77">
        <v>0</v>
      </c>
      <c r="N92" s="11"/>
      <c r="O92" s="77">
        <v>0</v>
      </c>
      <c r="P92" s="77">
        <f t="shared" si="9"/>
        <v>0</v>
      </c>
      <c r="R92" s="1"/>
    </row>
    <row r="93" spans="1:18" x14ac:dyDescent="0.2">
      <c r="A93" s="20"/>
      <c r="B93" s="18"/>
      <c r="C93" s="76"/>
      <c r="D93" s="18"/>
      <c r="E93" s="89"/>
      <c r="F93" s="24"/>
      <c r="G93" s="23"/>
      <c r="H93" s="24">
        <f t="shared" si="10"/>
        <v>-3288</v>
      </c>
      <c r="J93" s="89"/>
      <c r="K93" s="89"/>
      <c r="L93" s="89"/>
      <c r="M93" s="77">
        <v>0</v>
      </c>
      <c r="N93" s="11"/>
      <c r="O93" s="77">
        <v>0</v>
      </c>
      <c r="P93" s="77">
        <f t="shared" si="9"/>
        <v>0</v>
      </c>
      <c r="R93" s="1"/>
    </row>
    <row r="94" spans="1:18" x14ac:dyDescent="0.2">
      <c r="A94" s="20"/>
      <c r="B94" s="18"/>
      <c r="C94" s="76"/>
      <c r="D94" s="18"/>
      <c r="E94" s="89"/>
      <c r="F94" s="24"/>
      <c r="G94" s="23"/>
      <c r="H94" s="24">
        <f t="shared" si="10"/>
        <v>-3288</v>
      </c>
      <c r="J94" s="89"/>
      <c r="K94" s="89"/>
      <c r="L94" s="89"/>
      <c r="M94" s="77">
        <v>0</v>
      </c>
      <c r="N94" s="11"/>
      <c r="O94" s="77">
        <v>0</v>
      </c>
      <c r="P94" s="77">
        <f t="shared" si="9"/>
        <v>0</v>
      </c>
      <c r="R94" s="1"/>
    </row>
    <row r="95" spans="1:18" x14ac:dyDescent="0.2">
      <c r="A95" s="20"/>
      <c r="B95" s="18"/>
      <c r="C95" s="76"/>
      <c r="D95" s="18"/>
      <c r="E95" s="89"/>
      <c r="F95" s="24"/>
      <c r="G95" s="23"/>
      <c r="H95" s="24">
        <f t="shared" si="10"/>
        <v>-3288</v>
      </c>
      <c r="J95" s="89"/>
      <c r="K95" s="89"/>
      <c r="L95" s="89"/>
      <c r="M95" s="77">
        <v>0</v>
      </c>
      <c r="N95" s="11"/>
      <c r="O95" s="77">
        <v>0</v>
      </c>
      <c r="P95" s="77">
        <f t="shared" si="9"/>
        <v>0</v>
      </c>
      <c r="R95" s="1"/>
    </row>
    <row r="96" spans="1:18" x14ac:dyDescent="0.2">
      <c r="A96" s="20"/>
      <c r="B96" s="18"/>
      <c r="C96" s="76"/>
      <c r="D96" s="18"/>
      <c r="E96" s="89"/>
      <c r="F96" s="24"/>
      <c r="G96" s="23"/>
      <c r="H96" s="24">
        <f t="shared" si="10"/>
        <v>-3288</v>
      </c>
      <c r="J96" s="89"/>
      <c r="K96" s="89"/>
      <c r="L96" s="89"/>
      <c r="M96" s="77">
        <v>0</v>
      </c>
      <c r="N96" s="11"/>
      <c r="O96" s="77">
        <v>0</v>
      </c>
      <c r="P96" s="77">
        <f t="shared" si="9"/>
        <v>0</v>
      </c>
      <c r="R96" s="1"/>
    </row>
    <row r="97" spans="1:18" x14ac:dyDescent="0.2">
      <c r="A97" s="20"/>
      <c r="B97" s="18"/>
      <c r="C97" s="76"/>
      <c r="D97" s="18"/>
      <c r="E97" s="89"/>
      <c r="F97" s="24"/>
      <c r="G97" s="23"/>
      <c r="H97" s="24">
        <f t="shared" si="10"/>
        <v>-3288</v>
      </c>
      <c r="J97" s="89"/>
      <c r="K97" s="89"/>
      <c r="L97" s="89"/>
      <c r="M97" s="77">
        <v>0</v>
      </c>
      <c r="N97" s="11"/>
      <c r="O97" s="77">
        <v>0</v>
      </c>
      <c r="P97" s="77">
        <f t="shared" si="9"/>
        <v>0</v>
      </c>
      <c r="R97" s="1"/>
    </row>
    <row r="98" spans="1:18" x14ac:dyDescent="0.2">
      <c r="A98" s="20"/>
      <c r="B98" s="18"/>
      <c r="C98" s="76"/>
      <c r="D98" s="18"/>
      <c r="E98" s="89"/>
      <c r="F98" s="24"/>
      <c r="G98" s="23"/>
      <c r="H98" s="24">
        <f t="shared" si="10"/>
        <v>-3288</v>
      </c>
      <c r="J98" s="89"/>
      <c r="K98" s="89"/>
      <c r="L98" s="89"/>
      <c r="M98" s="77">
        <v>0</v>
      </c>
      <c r="N98" s="11"/>
      <c r="O98" s="77">
        <v>0</v>
      </c>
      <c r="P98" s="77">
        <f t="shared" si="9"/>
        <v>0</v>
      </c>
      <c r="R98" s="1"/>
    </row>
    <row r="99" spans="1:18" x14ac:dyDescent="0.2">
      <c r="A99" s="20"/>
      <c r="B99" s="18"/>
      <c r="C99" s="76"/>
      <c r="D99" s="18"/>
      <c r="E99" s="89"/>
      <c r="F99" s="24"/>
      <c r="G99" s="23"/>
      <c r="H99" s="24">
        <f t="shared" si="10"/>
        <v>-3288</v>
      </c>
      <c r="J99" s="89"/>
      <c r="K99" s="89"/>
      <c r="L99" s="89"/>
      <c r="M99" s="77">
        <v>0</v>
      </c>
      <c r="N99" s="11"/>
      <c r="O99" s="77">
        <v>0</v>
      </c>
      <c r="P99" s="77">
        <f t="shared" si="9"/>
        <v>0</v>
      </c>
      <c r="R99" s="1"/>
    </row>
    <row r="100" spans="1:18" x14ac:dyDescent="0.2">
      <c r="A100" s="20"/>
      <c r="B100" s="18"/>
      <c r="C100" s="76"/>
      <c r="D100" s="18"/>
      <c r="E100" s="89"/>
      <c r="F100" s="24"/>
      <c r="G100" s="23"/>
      <c r="H100" s="24">
        <f t="shared" si="10"/>
        <v>-3288</v>
      </c>
      <c r="J100" s="89"/>
      <c r="K100" s="89"/>
      <c r="L100" s="89"/>
      <c r="M100" s="77">
        <v>0</v>
      </c>
      <c r="N100" s="11"/>
      <c r="O100" s="77">
        <v>0</v>
      </c>
      <c r="P100" s="77">
        <f t="shared" si="9"/>
        <v>0</v>
      </c>
      <c r="R100" s="1"/>
    </row>
    <row r="101" spans="1:18" x14ac:dyDescent="0.2">
      <c r="A101" s="20"/>
      <c r="B101" s="18"/>
      <c r="C101" s="76"/>
      <c r="D101" s="18"/>
      <c r="E101" s="89"/>
      <c r="F101" s="24"/>
      <c r="G101" s="23"/>
      <c r="H101" s="24">
        <f t="shared" si="10"/>
        <v>-3288</v>
      </c>
      <c r="J101" s="89"/>
      <c r="K101" s="89"/>
      <c r="L101" s="89"/>
      <c r="M101" s="77">
        <v>0</v>
      </c>
      <c r="N101" s="11"/>
      <c r="O101" s="77">
        <v>0</v>
      </c>
      <c r="P101" s="77">
        <f t="shared" si="9"/>
        <v>0</v>
      </c>
      <c r="R101" s="1"/>
    </row>
    <row r="102" spans="1:18" x14ac:dyDescent="0.2">
      <c r="A102" s="20"/>
      <c r="B102" s="18"/>
      <c r="C102" s="76"/>
      <c r="D102" s="18"/>
      <c r="E102" s="89"/>
      <c r="F102" s="24"/>
      <c r="G102" s="23"/>
      <c r="H102" s="24">
        <f t="shared" si="10"/>
        <v>-3288</v>
      </c>
      <c r="J102" s="89"/>
      <c r="K102" s="89"/>
      <c r="L102" s="89"/>
      <c r="M102" s="77">
        <v>0</v>
      </c>
      <c r="N102" s="11"/>
      <c r="O102" s="77">
        <v>0</v>
      </c>
      <c r="P102" s="77">
        <f t="shared" si="9"/>
        <v>0</v>
      </c>
      <c r="R102" s="1"/>
    </row>
    <row r="103" spans="1:18" x14ac:dyDescent="0.2">
      <c r="A103" s="20"/>
      <c r="B103" s="18"/>
      <c r="C103" s="76"/>
      <c r="D103" s="18"/>
      <c r="E103" s="89"/>
      <c r="F103" s="24"/>
      <c r="G103" s="23"/>
      <c r="H103" s="24">
        <f t="shared" si="10"/>
        <v>-3288</v>
      </c>
      <c r="J103" s="89"/>
      <c r="K103" s="89"/>
      <c r="L103" s="89"/>
      <c r="M103" s="77">
        <v>0</v>
      </c>
      <c r="N103" s="11"/>
      <c r="O103" s="77">
        <v>0</v>
      </c>
      <c r="P103" s="77">
        <f t="shared" si="9"/>
        <v>0</v>
      </c>
      <c r="R103" s="1"/>
    </row>
    <row r="104" spans="1:18" x14ac:dyDescent="0.2">
      <c r="A104" s="20"/>
      <c r="B104" s="18"/>
      <c r="C104" s="76"/>
      <c r="D104" s="18"/>
      <c r="E104" s="89"/>
      <c r="F104" s="24"/>
      <c r="G104" s="23"/>
      <c r="H104" s="24">
        <f t="shared" si="10"/>
        <v>-3288</v>
      </c>
      <c r="J104" s="89"/>
      <c r="K104" s="89"/>
      <c r="L104" s="89"/>
      <c r="M104" s="77">
        <v>0</v>
      </c>
      <c r="N104" s="11"/>
      <c r="O104" s="77">
        <v>0</v>
      </c>
      <c r="P104" s="77">
        <f t="shared" si="9"/>
        <v>0</v>
      </c>
      <c r="R104" s="1"/>
    </row>
    <row r="105" spans="1:18" x14ac:dyDescent="0.2">
      <c r="A105" s="20"/>
      <c r="B105" s="18"/>
      <c r="C105" s="76"/>
      <c r="D105" s="18"/>
      <c r="E105" s="89"/>
      <c r="F105" s="24"/>
      <c r="G105" s="23"/>
      <c r="H105" s="24">
        <f t="shared" si="10"/>
        <v>-3288</v>
      </c>
      <c r="J105" s="89"/>
      <c r="K105" s="89"/>
      <c r="L105" s="89"/>
      <c r="M105" s="77">
        <v>0</v>
      </c>
      <c r="N105" s="11"/>
      <c r="O105" s="77">
        <v>0</v>
      </c>
      <c r="P105" s="77">
        <f t="shared" si="9"/>
        <v>0</v>
      </c>
      <c r="R105" s="1"/>
    </row>
    <row r="106" spans="1:18" x14ac:dyDescent="0.2">
      <c r="A106" s="20"/>
      <c r="B106" s="18"/>
      <c r="C106" s="76"/>
      <c r="D106" s="18"/>
      <c r="E106" s="89"/>
      <c r="F106" s="24"/>
      <c r="G106" s="23"/>
      <c r="H106" s="24">
        <f t="shared" si="10"/>
        <v>-3288</v>
      </c>
      <c r="J106" s="89"/>
      <c r="K106" s="89"/>
      <c r="L106" s="89"/>
      <c r="M106" s="77">
        <v>0</v>
      </c>
      <c r="N106" s="11"/>
      <c r="O106" s="77">
        <v>0</v>
      </c>
      <c r="P106" s="77">
        <f t="shared" si="9"/>
        <v>0</v>
      </c>
      <c r="R106" s="1"/>
    </row>
    <row r="107" spans="1:18" x14ac:dyDescent="0.2">
      <c r="A107" s="20"/>
      <c r="B107" s="18"/>
      <c r="C107" s="76"/>
      <c r="D107" s="18"/>
      <c r="E107" s="89"/>
      <c r="F107" s="24"/>
      <c r="G107" s="23"/>
      <c r="H107" s="24">
        <f t="shared" si="10"/>
        <v>-3288</v>
      </c>
      <c r="J107" s="89"/>
      <c r="K107" s="89"/>
      <c r="L107" s="89"/>
      <c r="M107" s="77">
        <v>0</v>
      </c>
      <c r="N107" s="11"/>
      <c r="O107" s="77">
        <v>0</v>
      </c>
      <c r="P107" s="77">
        <f t="shared" si="9"/>
        <v>0</v>
      </c>
      <c r="R107" s="1"/>
    </row>
    <row r="108" spans="1:18" x14ac:dyDescent="0.2">
      <c r="A108" s="20"/>
      <c r="B108" s="18"/>
      <c r="C108" s="76"/>
      <c r="D108" s="18"/>
      <c r="E108" s="89"/>
      <c r="F108" s="24"/>
      <c r="G108" s="23"/>
      <c r="H108" s="24">
        <f t="shared" si="10"/>
        <v>-3288</v>
      </c>
      <c r="J108" s="89"/>
      <c r="K108" s="89"/>
      <c r="L108" s="89"/>
      <c r="M108" s="77">
        <v>0</v>
      </c>
      <c r="N108" s="11"/>
      <c r="O108" s="77">
        <v>0</v>
      </c>
      <c r="P108" s="77">
        <f t="shared" si="9"/>
        <v>0</v>
      </c>
      <c r="R108" s="1"/>
    </row>
    <row r="109" spans="1:18" x14ac:dyDescent="0.2">
      <c r="A109" s="20"/>
      <c r="B109" s="18"/>
      <c r="C109" s="76"/>
      <c r="D109" s="18"/>
      <c r="E109" s="89"/>
      <c r="F109" s="24"/>
      <c r="G109" s="23"/>
      <c r="H109" s="24">
        <f t="shared" si="10"/>
        <v>-3288</v>
      </c>
      <c r="J109" s="89"/>
      <c r="K109" s="89"/>
      <c r="L109" s="89"/>
      <c r="M109" s="77">
        <v>0</v>
      </c>
      <c r="N109" s="11"/>
      <c r="O109" s="77">
        <v>0</v>
      </c>
      <c r="P109" s="77">
        <f t="shared" si="9"/>
        <v>0</v>
      </c>
      <c r="R109" s="1"/>
    </row>
    <row r="110" spans="1:18" x14ac:dyDescent="0.2">
      <c r="A110" s="21"/>
      <c r="B110" s="18"/>
      <c r="C110" s="76"/>
      <c r="D110" s="18"/>
      <c r="E110" s="89"/>
      <c r="F110" s="24"/>
      <c r="G110" s="23"/>
      <c r="H110" s="24">
        <f t="shared" si="10"/>
        <v>-3288</v>
      </c>
      <c r="J110" s="89"/>
      <c r="K110" s="89"/>
      <c r="L110" s="89"/>
      <c r="M110" s="77">
        <v>0</v>
      </c>
      <c r="N110" s="11"/>
      <c r="O110" s="77">
        <v>0</v>
      </c>
      <c r="P110" s="77">
        <f t="shared" si="9"/>
        <v>0</v>
      </c>
      <c r="R110" s="1"/>
    </row>
    <row r="111" spans="1:18" x14ac:dyDescent="0.2">
      <c r="A111" s="21"/>
      <c r="B111" s="18"/>
      <c r="C111" s="76"/>
      <c r="D111" s="18"/>
      <c r="E111" s="89"/>
      <c r="F111" s="24"/>
      <c r="G111" s="23"/>
      <c r="H111" s="24">
        <f t="shared" si="10"/>
        <v>-3288</v>
      </c>
      <c r="J111" s="89"/>
      <c r="K111" s="89"/>
      <c r="L111" s="89"/>
      <c r="M111" s="77">
        <v>0</v>
      </c>
      <c r="N111" s="11"/>
      <c r="O111" s="77">
        <v>0</v>
      </c>
      <c r="P111" s="77">
        <f t="shared" si="9"/>
        <v>0</v>
      </c>
      <c r="R111" s="1"/>
    </row>
    <row r="112" spans="1:18" x14ac:dyDescent="0.2">
      <c r="A112" s="21"/>
      <c r="B112" s="18"/>
      <c r="C112" s="76"/>
      <c r="D112" s="18"/>
      <c r="E112" s="89"/>
      <c r="F112" s="24"/>
      <c r="G112" s="23"/>
      <c r="H112" s="24">
        <f t="shared" si="10"/>
        <v>-3288</v>
      </c>
      <c r="J112" s="89"/>
      <c r="K112" s="89"/>
      <c r="L112" s="89"/>
      <c r="M112" s="77">
        <v>0</v>
      </c>
      <c r="N112" s="11"/>
      <c r="O112" s="77">
        <v>0</v>
      </c>
      <c r="P112" s="77">
        <f t="shared" si="9"/>
        <v>0</v>
      </c>
      <c r="R112" s="1"/>
    </row>
    <row r="113" spans="18:18" x14ac:dyDescent="0.2">
      <c r="R113" s="1"/>
    </row>
  </sheetData>
  <autoFilter ref="N1:N113" xr:uid="{78EB2AAE-1BD7-400D-A761-4D5DA9FAB287}"/>
  <mergeCells count="24">
    <mergeCell ref="A73:A74"/>
    <mergeCell ref="A75:A76"/>
    <mergeCell ref="A78:A80"/>
    <mergeCell ref="D2:D3"/>
    <mergeCell ref="C2:C3"/>
    <mergeCell ref="B2:B3"/>
    <mergeCell ref="A2:A3"/>
    <mergeCell ref="A67:A72"/>
    <mergeCell ref="A1:H1"/>
    <mergeCell ref="J1:Q1"/>
    <mergeCell ref="I78:I79"/>
    <mergeCell ref="A6:A11"/>
    <mergeCell ref="A12:A13"/>
    <mergeCell ref="A14:A18"/>
    <mergeCell ref="A19:A23"/>
    <mergeCell ref="A24:A29"/>
    <mergeCell ref="A30:A33"/>
    <mergeCell ref="A34:A35"/>
    <mergeCell ref="A37:A39"/>
    <mergeCell ref="A42:A49"/>
    <mergeCell ref="A51:A54"/>
    <mergeCell ref="A55:A58"/>
    <mergeCell ref="A60:A66"/>
    <mergeCell ref="E2:E3"/>
  </mergeCells>
  <phoneticPr fontId="13" type="noConversion"/>
  <pageMargins left="0.7" right="0.7" top="0.75" bottom="0.75" header="0.3" footer="0.3"/>
  <pageSetup paperSize="9" scale="34" fitToHeight="0" orientation="portrait" r:id="rId1"/>
  <colBreaks count="1" manualBreakCount="1">
    <brk id="8" max="88" man="1"/>
  </colBreaks>
  <ignoredErrors>
    <ignoredError sqref="P11 P15 P20 P33 P43 P2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JAN_2026</vt:lpstr>
      <vt:lpstr>FEB_2026</vt:lpstr>
      <vt:lpstr>MARCH_2026</vt:lpstr>
      <vt:lpstr>April_2026</vt:lpstr>
      <vt:lpstr>April_2026!Print_Area</vt:lpstr>
      <vt:lpstr>FEB_2026!Print_Area</vt:lpstr>
      <vt:lpstr>JAN_2026!Print_Area</vt:lpstr>
      <vt:lpstr>MARCH_2026!Print_Area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2026-04-28T08:57:52Z</dcterms:modified>
</cp:coreProperties>
</file>